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ctrlProps/ctrlProp3.xml" ContentType="application/vnd.ms-excel.controlproperties+xml"/>
  <Override PartName="/xl/drawings/drawing3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ctrlProps/ctrlProp4.xml" ContentType="application/vnd.ms-excel.controlproperties+xml"/>
  <Override PartName="/xl/drawings/drawing4.xml" ContentType="application/vnd.openxmlformats-officedocument.drawing+xml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ctrlProps/ctrlProp5.xml" ContentType="application/vnd.ms-excel.controlproperties+xml"/>
  <Override PartName="/xl/drawings/drawing5.xml" ContentType="application/vnd.openxmlformats-officedocument.drawing+xml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ctrlProps/ctrlProp6.xml" ContentType="application/vnd.ms-excel.controlproperties+xml"/>
  <Override PartName="/xl/drawings/drawing6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ctrlProps/ctrlProp7.xml" ContentType="application/vnd.ms-excel.controlpropertie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DieseArbeitsmappe"/>
  <mc:AlternateContent xmlns:mc="http://schemas.openxmlformats.org/markup-compatibility/2006">
    <mc:Choice Requires="x15">
      <x15ac:absPath xmlns:x15ac="http://schemas.microsoft.com/office/spreadsheetml/2010/11/ac" url="D:\Regie, Stunden, Verpflegung\Tagesberichte\"/>
    </mc:Choice>
  </mc:AlternateContent>
  <bookViews>
    <workbookView xWindow="28680" yWindow="-120" windowWidth="29040" windowHeight="15840"/>
  </bookViews>
  <sheets>
    <sheet name="Montag" sheetId="1" r:id="rId1"/>
    <sheet name="Dienstag" sheetId="7" r:id="rId2"/>
    <sheet name="Mittwoch" sheetId="8" r:id="rId3"/>
    <sheet name="Donnerstag" sheetId="9" r:id="rId4"/>
    <sheet name="Freitag" sheetId="11" r:id="rId5"/>
    <sheet name="Samstag" sheetId="12" r:id="rId6"/>
    <sheet name="Geräte_Maschienen" sheetId="4" state="hidden" r:id="rId7"/>
    <sheet name="Baustoffe_Material" sheetId="5" state="hidden" r:id="rId8"/>
    <sheet name="Einheiten" sheetId="6" state="hidden" r:id="rId9"/>
  </sheets>
  <definedNames>
    <definedName name="_xlnm.Print_Area" localSheetId="1">Dienstag!$A$1:$H$47</definedName>
    <definedName name="_xlnm.Print_Area" localSheetId="3">Donnerstag!$A$1:$H$47</definedName>
    <definedName name="_xlnm.Print_Area" localSheetId="4">Freitag!$A$1:$H$47</definedName>
    <definedName name="_xlnm.Print_Area" localSheetId="2">Mittwoch!$A$1:$H$47</definedName>
    <definedName name="_xlnm.Print_Area" localSheetId="0">Montag!$A$1:$H$47</definedName>
    <definedName name="_xlnm.Print_Area" localSheetId="5">Samstag!$A$1:$H$47</definedName>
    <definedName name="_xlnm.Print_Titles" localSheetId="1">Dienstag!$1:$7</definedName>
    <definedName name="_xlnm.Print_Titles" localSheetId="3">Donnerstag!$1:$7</definedName>
    <definedName name="_xlnm.Print_Titles" localSheetId="4">Freitag!$1:$7</definedName>
    <definedName name="_xlnm.Print_Titles" localSheetId="2">Mittwoch!$1:$7</definedName>
    <definedName name="_xlnm.Print_Titles" localSheetId="0">Montag!$1:$7</definedName>
    <definedName name="_xlnm.Print_Titles" localSheetId="5">Samstag!$1:$7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" i="12" l="1"/>
  <c r="C6" i="11"/>
  <c r="C6" i="9"/>
  <c r="C6" i="8"/>
  <c r="C6" i="7"/>
  <c r="C3" i="12"/>
  <c r="C3" i="11"/>
  <c r="C3" i="9"/>
  <c r="C3" i="8"/>
  <c r="C3" i="7"/>
  <c r="C2" i="12"/>
  <c r="C2" i="11"/>
  <c r="C2" i="9"/>
  <c r="C2" i="8"/>
  <c r="C2" i="7"/>
  <c r="C15" i="12" l="1"/>
  <c r="C15" i="11"/>
  <c r="C15" i="9"/>
  <c r="C15" i="8"/>
  <c r="C15" i="7"/>
  <c r="C15" i="1"/>
  <c r="F4" i="1" l="1"/>
  <c r="C4" i="12" l="1"/>
  <c r="F4" i="12" s="1"/>
  <c r="C4" i="11"/>
  <c r="F4" i="11" s="1"/>
  <c r="C4" i="9"/>
  <c r="F4" i="9" s="1"/>
  <c r="C4" i="8"/>
  <c r="F4" i="8" s="1"/>
  <c r="C4" i="7"/>
  <c r="F4" i="7" s="1"/>
  <c r="D1" i="11" l="1"/>
  <c r="D1" i="9"/>
  <c r="D1" i="8"/>
  <c r="D1" i="12"/>
  <c r="D1" i="7"/>
</calcChain>
</file>

<file path=xl/sharedStrings.xml><?xml version="1.0" encoding="utf-8"?>
<sst xmlns="http://schemas.openxmlformats.org/spreadsheetml/2006/main" count="474" uniqueCount="273">
  <si>
    <t xml:space="preserve">Menge </t>
  </si>
  <si>
    <t>Baustelle:</t>
  </si>
  <si>
    <t>Kombi Motz</t>
  </si>
  <si>
    <t>Bagger LH 946</t>
  </si>
  <si>
    <t>Bagger LH 924</t>
  </si>
  <si>
    <t>Bagger LH 918</t>
  </si>
  <si>
    <t>Bagger LH 914</t>
  </si>
  <si>
    <t>Bagger 16 to.</t>
  </si>
  <si>
    <t>Bagger 9 to.</t>
  </si>
  <si>
    <t>Bagger 6 to.</t>
  </si>
  <si>
    <t>Bagger 3,5 to.</t>
  </si>
  <si>
    <t>Bagger 1,8 to.</t>
  </si>
  <si>
    <t>Meißel für Minnibagger</t>
  </si>
  <si>
    <t>Meißel für LH 914 oder 924</t>
  </si>
  <si>
    <t>Anbauverdichter 9 to. Bagger</t>
  </si>
  <si>
    <t>Anbauverdichter LH 924</t>
  </si>
  <si>
    <t>Humuslöffel bis 6 to. Bagger</t>
  </si>
  <si>
    <t>Humuslöffel bis 14 to. Bagger</t>
  </si>
  <si>
    <t>2 Achser LKW</t>
  </si>
  <si>
    <t>3 Achser LKW</t>
  </si>
  <si>
    <t>4 Achser LKW</t>
  </si>
  <si>
    <t>Sattelzug LKW</t>
  </si>
  <si>
    <t>Unimog (U 1000)</t>
  </si>
  <si>
    <t>Kran LKW</t>
  </si>
  <si>
    <t>Schwerlasttransporter 60 to.</t>
  </si>
  <si>
    <t xml:space="preserve">Walzenzug </t>
  </si>
  <si>
    <t>Raupe (CAT)</t>
  </si>
  <si>
    <t>Radlader Kramer</t>
  </si>
  <si>
    <t>Radlader Kramer o. Bedi.</t>
  </si>
  <si>
    <t>Kehrmaschine</t>
  </si>
  <si>
    <t>Stapler 5 to.</t>
  </si>
  <si>
    <t xml:space="preserve">Hochbaukran HD 32 </t>
  </si>
  <si>
    <t xml:space="preserve">Hochbaukran LH 81 K </t>
  </si>
  <si>
    <t>Hochbaukran Potain 386</t>
  </si>
  <si>
    <t>Hochbaukran MD 120</t>
  </si>
  <si>
    <t>Hochbaukran LH 120 EC H</t>
  </si>
  <si>
    <t>Hochbaukran LH 140 EC - H</t>
  </si>
  <si>
    <t xml:space="preserve">Hochbaukran LH 202 EC - B </t>
  </si>
  <si>
    <t>Fugenschneider (mit Bed.)</t>
  </si>
  <si>
    <t>Maurerbühne 2,50/1,25</t>
  </si>
  <si>
    <t>Betonkübel 500 L. Schräg</t>
  </si>
  <si>
    <t>Betonkübel 750 L. Schräg</t>
  </si>
  <si>
    <t>Betonkübel 1000 L. Schräg</t>
  </si>
  <si>
    <t>Betonkübel 1500 L. Schräg</t>
  </si>
  <si>
    <t>Betonkübel 750 L. Schlauch</t>
  </si>
  <si>
    <t>Betonkübel 1000 L. Schlauch</t>
  </si>
  <si>
    <t>Steingabel</t>
  </si>
  <si>
    <t>Personenkorb</t>
  </si>
  <si>
    <t>Mörtelwanne 90 L.</t>
  </si>
  <si>
    <t>Mörtelwanne 200 L.</t>
  </si>
  <si>
    <t>Bauschuttwanne 1000 L.</t>
  </si>
  <si>
    <t>Steinsäge groß bis 360 mm</t>
  </si>
  <si>
    <t>Steinsäge groß bis 240 mm</t>
  </si>
  <si>
    <t>Steinsäge klein bis 120 mm</t>
  </si>
  <si>
    <t>Bandsäge (Lissmac MBS)</t>
  </si>
  <si>
    <t>Krangehänge 6 m 4 Teilig</t>
  </si>
  <si>
    <t>Schachtgehänge neue DIN bis 1,8 to.</t>
  </si>
  <si>
    <t>Elektroameise Hubhöhe 3,0m (Fremdgerät)</t>
  </si>
  <si>
    <t>1 Achser Anhänger</t>
  </si>
  <si>
    <t>2 Achser Anhänger</t>
  </si>
  <si>
    <t>Kompressor bis 8 bar</t>
  </si>
  <si>
    <t>Rüttelplatte 120 kg.</t>
  </si>
  <si>
    <t>Rüttelplatte 250 kg.</t>
  </si>
  <si>
    <t>Rüttelplatte 500 kg.</t>
  </si>
  <si>
    <t>Rüttelplatte 750 kg.</t>
  </si>
  <si>
    <t xml:space="preserve">Ramax 1400 kg </t>
  </si>
  <si>
    <t>Grabenstampfer (Wacker)</t>
  </si>
  <si>
    <t>Tischkreissäge 32 A (Avola)</t>
  </si>
  <si>
    <t xml:space="preserve">Hochdruckreiniger 240 bar </t>
  </si>
  <si>
    <t>Hubwagen bis 2 to. Tragkraft</t>
  </si>
  <si>
    <t>Elektroameise Hubhöhe 3,0m (Eigen)</t>
  </si>
  <si>
    <t>Absperrung</t>
  </si>
  <si>
    <t>Bake mit Blinklicht</t>
  </si>
  <si>
    <t xml:space="preserve">Absperrung (Rot weiß) 2,40 m </t>
  </si>
  <si>
    <t>Straßenschild(verschieden)Rohr 2,50 inkl. 2 Füße</t>
  </si>
  <si>
    <t>Bauzaunelement 3,50*2,0 inkl. Fuß</t>
  </si>
  <si>
    <t>Bauzaunfuß</t>
  </si>
  <si>
    <t xml:space="preserve">Schachtabdeckung </t>
  </si>
  <si>
    <t>Stahlplatten 2,50*1,25 / 2,0 cm</t>
  </si>
  <si>
    <t>Alligator mit Sägeblatt für Ziegelstein</t>
  </si>
  <si>
    <t>Handkreissäge 2000 W. m. Holzblatt</t>
  </si>
  <si>
    <t>Motorsäge (Stihl) MS 441 m. Kette</t>
  </si>
  <si>
    <t>Motorflex Stihl m. Videablatt 300 mm</t>
  </si>
  <si>
    <t>Motorflex Stihl m. Videablatt 360 mm</t>
  </si>
  <si>
    <t>Umformer/Rüttelflasche (56mm)</t>
  </si>
  <si>
    <t>Umformer/Rüttelflasche (37mm)</t>
  </si>
  <si>
    <t>Außenrüttler (Wacker AR 41)</t>
  </si>
  <si>
    <t>Bibo 1</t>
  </si>
  <si>
    <t>Bibo 2</t>
  </si>
  <si>
    <t>Bibo 3</t>
  </si>
  <si>
    <t>Kettenzug 3 to. (Krings)</t>
  </si>
  <si>
    <t>Nivi. Instrument</t>
  </si>
  <si>
    <t>Laser</t>
  </si>
  <si>
    <t>Gefälle Laser</t>
  </si>
  <si>
    <t>Kanalbaulaser</t>
  </si>
  <si>
    <t>Bauteodorlith mit Halter</t>
  </si>
  <si>
    <t>Staubsauger 850 W.</t>
  </si>
  <si>
    <t>Hilti Flex 230 mm mit Staubsauger</t>
  </si>
  <si>
    <t>Doppelquirl Kollmax</t>
  </si>
  <si>
    <t>Langsamläufer</t>
  </si>
  <si>
    <t>Hilti Hit Pistole Elektrisch</t>
  </si>
  <si>
    <t>Fuchsschwanz Sägeblatt Holz/Eisen</t>
  </si>
  <si>
    <t>Stichsäge mit Sägeblatt für Holz</t>
  </si>
  <si>
    <t>AKKU Flex 125 mm mit Stahlblatt</t>
  </si>
  <si>
    <t>Flex 125mm (Winkelschleifer) m. Stahlblatt</t>
  </si>
  <si>
    <t>Flex 230mm (Winkelschleifer) m. Stahlblatt</t>
  </si>
  <si>
    <t>Schlagschrauber 450 (Nm)</t>
  </si>
  <si>
    <t>AKKU Schrauber 18 Volt (Dewalt)</t>
  </si>
  <si>
    <t>Akkuschrauber / Schlagbohren</t>
  </si>
  <si>
    <t>Bohrmaschiene 1000 W. (Schalungsbohrer)</t>
  </si>
  <si>
    <t>Hilti TE 16</t>
  </si>
  <si>
    <t>Hilti TE 36</t>
  </si>
  <si>
    <t>Hilti TE 74</t>
  </si>
  <si>
    <t>Hilti TE 805</t>
  </si>
  <si>
    <t>Hilti TE 905</t>
  </si>
  <si>
    <t>Abbruchhammer Dewald (mit Meisel)</t>
  </si>
  <si>
    <t>Borhammer AKKU (Berner)</t>
  </si>
  <si>
    <t>Flexscheiben 125 mm</t>
  </si>
  <si>
    <t>Flexscheiben 230 mm</t>
  </si>
  <si>
    <t>Flexscheiben 300 mm für Motorflex</t>
  </si>
  <si>
    <t>Flexscheiben 360 mm für Motorflex</t>
  </si>
  <si>
    <t>Stk.</t>
  </si>
  <si>
    <t>m2</t>
  </si>
  <si>
    <t xml:space="preserve">Trio Schalung </t>
  </si>
  <si>
    <t>m2/Tag</t>
  </si>
  <si>
    <t>Maximo Schalung</t>
  </si>
  <si>
    <t>Skydeck Deckenschalung</t>
  </si>
  <si>
    <t>Peri MP 480</t>
  </si>
  <si>
    <t>Stk./Tag</t>
  </si>
  <si>
    <t>Peri MP 350</t>
  </si>
  <si>
    <t>Peri MP 120</t>
  </si>
  <si>
    <t>PEP 30/350</t>
  </si>
  <si>
    <t>PEP 30/300</t>
  </si>
  <si>
    <t>PEP 30/250</t>
  </si>
  <si>
    <t>PEP 20/350</t>
  </si>
  <si>
    <t>PEP 20/300</t>
  </si>
  <si>
    <t>PEP 20/250</t>
  </si>
  <si>
    <t>Dielen 4,50m / 45/280</t>
  </si>
  <si>
    <t>Stk./Wo</t>
  </si>
  <si>
    <t>Handlaufbretter 4,50m / 30/150</t>
  </si>
  <si>
    <t>Kantholz 4,50 m / 100/120</t>
  </si>
  <si>
    <t>Schaltafeln 2,0mx0,5m</t>
  </si>
  <si>
    <t>Magnoplanplatten 21 mm</t>
  </si>
  <si>
    <t>Betoplanplatten 8mm</t>
  </si>
  <si>
    <t>OSB Platte 19mm</t>
  </si>
  <si>
    <t>GT 24 6,00 m</t>
  </si>
  <si>
    <t>m/Tag</t>
  </si>
  <si>
    <t>GT 24 4,90 m</t>
  </si>
  <si>
    <t>GT 24 4,50 m</t>
  </si>
  <si>
    <t>GT 24 3,90 m</t>
  </si>
  <si>
    <t>GT 24 2,90 m</t>
  </si>
  <si>
    <t>H 20 6,00 m</t>
  </si>
  <si>
    <t>H 20 4,50 m</t>
  </si>
  <si>
    <t>H 20 3,90 m</t>
  </si>
  <si>
    <t>H 20 3,60 m</t>
  </si>
  <si>
    <t>H 20 2,90 m</t>
  </si>
  <si>
    <t>Dreinbein</t>
  </si>
  <si>
    <t>Kreuzkopf</t>
  </si>
  <si>
    <t>Schalbretter 4,50m / 22/180</t>
  </si>
  <si>
    <t xml:space="preserve">Anbauverdichter 9 to. Bagger </t>
  </si>
  <si>
    <t xml:space="preserve">Anbauverdichter LH 924 </t>
  </si>
  <si>
    <t>Beton C 12/15      (Kleinmengen bis 1,0 m3)</t>
  </si>
  <si>
    <t>Beton C 15/20</t>
  </si>
  <si>
    <t>Beton C 25/30</t>
  </si>
  <si>
    <t>Beton C 30/37</t>
  </si>
  <si>
    <t>Wandkies 0-32</t>
  </si>
  <si>
    <t>Wandkies 0-X</t>
  </si>
  <si>
    <t>Frostschutzkies 0-32</t>
  </si>
  <si>
    <t>Betonrec. Material 0-45</t>
  </si>
  <si>
    <t>Betonkies 0 - 16 mm</t>
  </si>
  <si>
    <t>Kabelsand</t>
  </si>
  <si>
    <t>Splitt 2-5</t>
  </si>
  <si>
    <t>Eisen</t>
  </si>
  <si>
    <t>Baustahl Rundstahl</t>
  </si>
  <si>
    <t>Baustahl Matten</t>
  </si>
  <si>
    <t>Unterstützungskörbe</t>
  </si>
  <si>
    <t>Steine</t>
  </si>
  <si>
    <t>Stein KSL 3DF</t>
  </si>
  <si>
    <t>KS Steine NF 240/115/071</t>
  </si>
  <si>
    <t>KS Steine DF 240/115/052</t>
  </si>
  <si>
    <t>KS Steine 2DF 240/115/113</t>
  </si>
  <si>
    <t>KS Steine 3DF 240/175/113</t>
  </si>
  <si>
    <t>HLZ 375/240/249</t>
  </si>
  <si>
    <t>Mörtel</t>
  </si>
  <si>
    <t>Mörtel M5                          25 kg</t>
  </si>
  <si>
    <t>Mörtel M10                        25 kg</t>
  </si>
  <si>
    <t>Pagel von 2 bis 30 mm       25 kg</t>
  </si>
  <si>
    <t>Betonspachtel (PCI)</t>
  </si>
  <si>
    <t>Betonestrich C25/30          25 kg</t>
  </si>
  <si>
    <t>Zement 25 kg 32,5 R</t>
  </si>
  <si>
    <t>Vergussmörtel ab 30 mm   25 kg</t>
  </si>
  <si>
    <t>Dünnbettmörtel für Ytong    25 kg</t>
  </si>
  <si>
    <t>Leichtbetonmörtel              25 kg</t>
  </si>
  <si>
    <t>Baustoffe</t>
  </si>
  <si>
    <t>Isolierung XPS 120 mm</t>
  </si>
  <si>
    <t>Isolierung XPS 80 mm</t>
  </si>
  <si>
    <t>Isolierung XPS 50 mm</t>
  </si>
  <si>
    <t>Hilti Hit HY 200</t>
  </si>
  <si>
    <t>Drunterleisten 3,0 cm (Kunsstoff)</t>
  </si>
  <si>
    <t>Drunterleisten 3,0 cm (Faserzement)</t>
  </si>
  <si>
    <t>Folie 0,2mm</t>
  </si>
  <si>
    <t>Noppenfolie mit Vlies 1,0m/Rolle (2 Lag.)</t>
  </si>
  <si>
    <t>Noppenfolie mit Vlies 2,0m/Rolle (2 Lag.)</t>
  </si>
  <si>
    <t>Noppenfolie mit Vlies 2,5m/Rolle (2 Lag.)</t>
  </si>
  <si>
    <t>Noppenfo. m.Vlies/Folie 2,5/Rolle (3 Lag.)</t>
  </si>
  <si>
    <t>Vlies 2,0m/Rolle (140 g)</t>
  </si>
  <si>
    <t>Vlies 2,0m/Rolle (200 g)</t>
  </si>
  <si>
    <t>PU Schaum (750ml)</t>
  </si>
  <si>
    <t>PU Klebeschaum (500ml)</t>
  </si>
  <si>
    <t>PU Klebeschaum (750ml)</t>
  </si>
  <si>
    <t>Maueranschlussschiene HMS</t>
  </si>
  <si>
    <t>Maueranker ML 180 FV</t>
  </si>
  <si>
    <t>Lochbandanker (30mm)</t>
  </si>
  <si>
    <t>Dübel für XPS 25 Stk. bis 140 mm</t>
  </si>
  <si>
    <t>Schlaganker 6/100</t>
  </si>
  <si>
    <t>Schrauben 4,0/40 (250/Pack)</t>
  </si>
  <si>
    <t>Schrauben 4,5/50 (250/Pack)</t>
  </si>
  <si>
    <t>Schrauben 5,0/80 (100/Pack)</t>
  </si>
  <si>
    <t>Nägel 60 er (5kg)</t>
  </si>
  <si>
    <t>Nägel 80 er (5kg)</t>
  </si>
  <si>
    <t>Kabelbinder 20 cm (stark/schwarz)</t>
  </si>
  <si>
    <t>Kabelbinder 40 cm (stark/schwarz)</t>
  </si>
  <si>
    <t>Entsorgung</t>
  </si>
  <si>
    <t>Beton bis 80 cm Bruchkante Entsogung</t>
  </si>
  <si>
    <t>Beton über 80 cm Bruchkante Entsogung</t>
  </si>
  <si>
    <t>Ziegel Entsogung</t>
  </si>
  <si>
    <t>KS Steine Entsogung</t>
  </si>
  <si>
    <t>Bauschutt Mineralisch DK 0Entsogung</t>
  </si>
  <si>
    <t>Müll Entsogung</t>
  </si>
  <si>
    <t>Holz gemischt behandelt Entsogung</t>
  </si>
  <si>
    <t>Dämmung (XPS) Entsogung</t>
  </si>
  <si>
    <t>Schalung</t>
  </si>
  <si>
    <t>Schalung (Verschnitt)</t>
  </si>
  <si>
    <t>m3</t>
  </si>
  <si>
    <t>lfm.</t>
  </si>
  <si>
    <t>ltr.</t>
  </si>
  <si>
    <t>to.</t>
  </si>
  <si>
    <t>kg</t>
  </si>
  <si>
    <t>Sack</t>
  </si>
  <si>
    <t>Pack</t>
  </si>
  <si>
    <t>Kartusche</t>
  </si>
  <si>
    <t>Maschinist</t>
  </si>
  <si>
    <t xml:space="preserve">Bautagesbericht-Nr. </t>
  </si>
  <si>
    <t xml:space="preserve">Auftraggeber:                    </t>
  </si>
  <si>
    <t>Datum:</t>
  </si>
  <si>
    <t>Arbeitszeit von:</t>
  </si>
  <si>
    <t>bis:</t>
  </si>
  <si>
    <r>
      <t xml:space="preserve">Bearbeiter: </t>
    </r>
    <r>
      <rPr>
        <sz val="10"/>
        <rFont val="Arial"/>
        <family val="2"/>
      </rPr>
      <t/>
    </r>
  </si>
  <si>
    <t>Wetter</t>
  </si>
  <si>
    <t>Temperatur</t>
  </si>
  <si>
    <t>Min:</t>
  </si>
  <si>
    <t>Max:</t>
  </si>
  <si>
    <t xml:space="preserve">Eigen </t>
  </si>
  <si>
    <t>Anzahl</t>
  </si>
  <si>
    <t>Nachunternehmer</t>
  </si>
  <si>
    <t>Aufsicht</t>
  </si>
  <si>
    <t>Facharbeiter</t>
  </si>
  <si>
    <t>gesamt</t>
  </si>
  <si>
    <t>Beschreibung der Arbeiten</t>
  </si>
  <si>
    <t>Maschinen, Geräte</t>
  </si>
  <si>
    <t>Materialbezeichnung</t>
  </si>
  <si>
    <t>Lieferant</t>
  </si>
  <si>
    <t xml:space="preserve">  </t>
  </si>
  <si>
    <t>aufgestellt AN:</t>
  </si>
  <si>
    <t>anerkannt AG:</t>
  </si>
  <si>
    <t>Bauleiter/Polier</t>
  </si>
  <si>
    <t>für den Auftraggeber</t>
  </si>
  <si>
    <t>Arbeitseinsatz</t>
  </si>
  <si>
    <t>Ausgeführte Arbeiten</t>
  </si>
  <si>
    <t>Geräteeinsatz</t>
  </si>
  <si>
    <t>Sonstiges</t>
  </si>
  <si>
    <t>KW</t>
  </si>
  <si>
    <t>Beham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</si>
</sst>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€&quot;* #,##0.00_);_(&quot;€&quot;* \(#,##0.00\);_(&quot;€&quot;* &quot;-&quot;??_);_(@_)"/>
    <numFmt numFmtId="165" formatCode="ddd/\ dd/mm/yyyy"/>
    <numFmt numFmtId="166" formatCode="0.0&quot;°&quot;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8"/>
      <color rgb="FF000000"/>
      <name val="Wingdings"/>
      <charset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8">
    <xf numFmtId="0" fontId="0" fillId="0" borderId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1" applyNumberFormat="0" applyAlignment="0" applyProtection="0"/>
    <xf numFmtId="0" fontId="6" fillId="11" borderId="2" applyNumberFormat="0" applyAlignment="0" applyProtection="0"/>
    <xf numFmtId="0" fontId="7" fillId="4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12" borderId="0" applyNumberFormat="0" applyBorder="0" applyAlignment="0" applyProtection="0"/>
    <xf numFmtId="0" fontId="3" fillId="13" borderId="4" applyNumberFormat="0" applyFont="0" applyAlignment="0" applyProtection="0"/>
    <xf numFmtId="0" fontId="12" fillId="2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14" borderId="9" applyNumberFormat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02">
    <xf numFmtId="0" fontId="0" fillId="0" borderId="0" xfId="0"/>
    <xf numFmtId="0" fontId="3" fillId="0" borderId="0" xfId="0" applyFont="1" applyAlignment="1">
      <alignment vertical="center"/>
    </xf>
    <xf numFmtId="0" fontId="23" fillId="0" borderId="51" xfId="26" applyFont="1" applyBorder="1"/>
    <xf numFmtId="0" fontId="1" fillId="0" borderId="0" xfId="26"/>
    <xf numFmtId="0" fontId="23" fillId="0" borderId="51" xfId="26" applyFont="1" applyFill="1" applyBorder="1"/>
    <xf numFmtId="0" fontId="23" fillId="0" borderId="14" xfId="26" applyFont="1" applyBorder="1"/>
    <xf numFmtId="0" fontId="23" fillId="0" borderId="10" xfId="26" applyFont="1" applyBorder="1"/>
    <xf numFmtId="0" fontId="23" fillId="0" borderId="50" xfId="26" applyFont="1" applyFill="1" applyBorder="1"/>
    <xf numFmtId="0" fontId="23" fillId="0" borderId="52" xfId="26" applyFont="1" applyFill="1" applyBorder="1"/>
    <xf numFmtId="0" fontId="23" fillId="0" borderId="11" xfId="26" applyFont="1" applyBorder="1"/>
    <xf numFmtId="0" fontId="23" fillId="0" borderId="42" xfId="26" applyFont="1" applyBorder="1"/>
    <xf numFmtId="0" fontId="23" fillId="0" borderId="56" xfId="26" applyFont="1" applyBorder="1"/>
    <xf numFmtId="0" fontId="23" fillId="0" borderId="50" xfId="26" applyFont="1" applyBorder="1"/>
    <xf numFmtId="164" fontId="23" fillId="0" borderId="0" xfId="27" applyFont="1" applyBorder="1" applyAlignment="1">
      <alignment horizontal="center"/>
    </xf>
    <xf numFmtId="0" fontId="23" fillId="0" borderId="52" xfId="26" applyFont="1" applyBorder="1"/>
    <xf numFmtId="0" fontId="23" fillId="17" borderId="52" xfId="26" applyFont="1" applyFill="1" applyBorder="1"/>
    <xf numFmtId="0" fontId="23" fillId="0" borderId="0" xfId="26" applyFont="1" applyBorder="1"/>
    <xf numFmtId="0" fontId="23" fillId="0" borderId="0" xfId="26" applyFont="1" applyFill="1" applyBorder="1"/>
    <xf numFmtId="0" fontId="23" fillId="0" borderId="57" xfId="26" applyFont="1" applyBorder="1"/>
    <xf numFmtId="0" fontId="1" fillId="18" borderId="0" xfId="26" applyFill="1"/>
    <xf numFmtId="0" fontId="23" fillId="0" borderId="10" xfId="26" applyFont="1" applyFill="1" applyBorder="1"/>
    <xf numFmtId="0" fontId="23" fillId="0" borderId="55" xfId="26" applyFont="1" applyBorder="1"/>
    <xf numFmtId="0" fontId="21" fillId="0" borderId="10" xfId="26" applyFont="1" applyBorder="1"/>
    <xf numFmtId="0" fontId="23" fillId="0" borderId="14" xfId="26" applyFont="1" applyFill="1" applyBorder="1"/>
    <xf numFmtId="0" fontId="23" fillId="0" borderId="53" xfId="26" applyFont="1" applyBorder="1"/>
    <xf numFmtId="0" fontId="23" fillId="0" borderId="59" xfId="26" applyFont="1" applyBorder="1"/>
    <xf numFmtId="0" fontId="21" fillId="16" borderId="0" xfId="26" applyFont="1" applyFill="1"/>
    <xf numFmtId="0" fontId="23" fillId="16" borderId="0" xfId="26" applyFont="1" applyFill="1" applyBorder="1"/>
    <xf numFmtId="0" fontId="21" fillId="18" borderId="0" xfId="26" applyFont="1" applyFill="1" applyBorder="1"/>
    <xf numFmtId="0" fontId="27" fillId="0" borderId="0" xfId="26" applyFont="1" applyBorder="1"/>
    <xf numFmtId="0" fontId="25" fillId="18" borderId="0" xfId="26" applyFont="1" applyFill="1" applyBorder="1"/>
    <xf numFmtId="0" fontId="25" fillId="0" borderId="0" xfId="26" applyFont="1" applyBorder="1"/>
    <xf numFmtId="0" fontId="1" fillId="0" borderId="0" xfId="26" applyBorder="1"/>
    <xf numFmtId="0" fontId="24" fillId="0" borderId="0" xfId="26" applyFont="1" applyBorder="1"/>
    <xf numFmtId="0" fontId="23" fillId="0" borderId="0" xfId="26" applyFont="1"/>
    <xf numFmtId="0" fontId="28" fillId="0" borderId="0" xfId="26" applyFont="1" applyBorder="1"/>
    <xf numFmtId="0" fontId="29" fillId="0" borderId="0" xfId="26" applyFont="1" applyBorder="1" applyAlignment="1">
      <alignment horizontal="center"/>
    </xf>
    <xf numFmtId="0" fontId="23" fillId="0" borderId="60" xfId="26" applyFont="1" applyFill="1" applyBorder="1"/>
    <xf numFmtId="0" fontId="23" fillId="0" borderId="58" xfId="26" applyFont="1" applyFill="1" applyBorder="1"/>
    <xf numFmtId="0" fontId="30" fillId="0" borderId="0" xfId="26" applyFont="1" applyBorder="1" applyAlignment="1">
      <alignment horizontal="center"/>
    </xf>
    <xf numFmtId="0" fontId="28" fillId="0" borderId="0" xfId="26" applyFont="1"/>
    <xf numFmtId="0" fontId="23" fillId="0" borderId="61" xfId="26" applyFont="1" applyFill="1" applyBorder="1"/>
    <xf numFmtId="0" fontId="23" fillId="0" borderId="55" xfId="26" applyFont="1" applyFill="1" applyBorder="1"/>
    <xf numFmtId="0" fontId="27" fillId="0" borderId="55" xfId="26" applyFont="1" applyFill="1" applyBorder="1"/>
    <xf numFmtId="0" fontId="23" fillId="0" borderId="54" xfId="26" applyFont="1" applyFill="1" applyBorder="1"/>
    <xf numFmtId="0" fontId="23" fillId="0" borderId="62" xfId="26" applyFont="1" applyFill="1" applyBorder="1"/>
    <xf numFmtId="0" fontId="21" fillId="0" borderId="55" xfId="26" applyFont="1" applyBorder="1"/>
    <xf numFmtId="0" fontId="21" fillId="0" borderId="0" xfId="26" applyFont="1" applyBorder="1"/>
    <xf numFmtId="0" fontId="21" fillId="0" borderId="14" xfId="26" applyFont="1" applyBorder="1"/>
    <xf numFmtId="0" fontId="21" fillId="0" borderId="0" xfId="26" applyFont="1"/>
    <xf numFmtId="0" fontId="21" fillId="0" borderId="61" xfId="26" applyFont="1" applyBorder="1"/>
    <xf numFmtId="0" fontId="29" fillId="0" borderId="55" xfId="26" applyFont="1" applyBorder="1"/>
    <xf numFmtId="0" fontId="21" fillId="0" borderId="56" xfId="26" applyFont="1" applyBorder="1"/>
    <xf numFmtId="0" fontId="21" fillId="0" borderId="42" xfId="26" applyFont="1" applyBorder="1"/>
    <xf numFmtId="0" fontId="21" fillId="0" borderId="39" xfId="26" applyFont="1" applyBorder="1"/>
    <xf numFmtId="0" fontId="21" fillId="0" borderId="11" xfId="26" applyFont="1" applyBorder="1"/>
    <xf numFmtId="0" fontId="29" fillId="0" borderId="16" xfId="26" applyFont="1" applyBorder="1"/>
    <xf numFmtId="0" fontId="21" fillId="0" borderId="48" xfId="26" applyFont="1" applyBorder="1"/>
    <xf numFmtId="0" fontId="21" fillId="0" borderId="53" xfId="26" applyFont="1" applyBorder="1"/>
    <xf numFmtId="0" fontId="30" fillId="0" borderId="0" xfId="26" applyFont="1" applyAlignment="1">
      <alignment horizontal="right"/>
    </xf>
    <xf numFmtId="0" fontId="23" fillId="0" borderId="59" xfId="26" applyFont="1" applyFill="1" applyBorder="1"/>
    <xf numFmtId="0" fontId="21" fillId="0" borderId="0" xfId="26" applyFont="1" applyBorder="1" applyAlignment="1">
      <alignment horizontal="center"/>
    </xf>
    <xf numFmtId="0" fontId="21" fillId="16" borderId="0" xfId="26" applyFont="1" applyFill="1" applyBorder="1"/>
    <xf numFmtId="0" fontId="29" fillId="0" borderId="0" xfId="26" applyFont="1" applyBorder="1"/>
    <xf numFmtId="0" fontId="22" fillId="0" borderId="0" xfId="26" applyFont="1" applyBorder="1"/>
    <xf numFmtId="0" fontId="26" fillId="0" borderId="0" xfId="26" applyFont="1" applyBorder="1" applyAlignment="1">
      <alignment horizontal="center"/>
    </xf>
    <xf numFmtId="0" fontId="27" fillId="0" borderId="0" xfId="26" applyFont="1"/>
    <xf numFmtId="0" fontId="26" fillId="0" borderId="0" xfId="26" applyFont="1" applyBorder="1" applyAlignment="1">
      <alignment horizontal="right"/>
    </xf>
    <xf numFmtId="0" fontId="23" fillId="0" borderId="56" xfId="26" applyFont="1" applyFill="1" applyBorder="1"/>
    <xf numFmtId="0" fontId="23" fillId="0" borderId="42" xfId="26" applyFont="1" applyFill="1" applyBorder="1"/>
    <xf numFmtId="0" fontId="1" fillId="0" borderId="10" xfId="26" applyBorder="1"/>
    <xf numFmtId="0" fontId="21" fillId="0" borderId="10" xfId="26" applyFont="1" applyFill="1" applyBorder="1"/>
    <xf numFmtId="0" fontId="21" fillId="0" borderId="0" xfId="26" applyFont="1" applyFill="1" applyBorder="1"/>
    <xf numFmtId="0" fontId="1" fillId="16" borderId="0" xfId="26" applyFill="1" applyBorder="1"/>
    <xf numFmtId="0" fontId="31" fillId="0" borderId="0" xfId="26" applyFont="1" applyBorder="1"/>
    <xf numFmtId="0" fontId="21" fillId="0" borderId="0" xfId="26" applyFont="1" applyAlignment="1">
      <alignment horizontal="center"/>
    </xf>
    <xf numFmtId="0" fontId="23" fillId="0" borderId="0" xfId="26" applyFont="1" applyFill="1" applyBorder="1" applyAlignment="1">
      <alignment horizontal="center" vertical="center"/>
    </xf>
    <xf numFmtId="0" fontId="21" fillId="0" borderId="0" xfId="26" applyFont="1" applyBorder="1" applyAlignment="1">
      <alignment horizontal="center" vertical="center"/>
    </xf>
    <xf numFmtId="0" fontId="1" fillId="0" borderId="0" xfId="26" applyAlignment="1">
      <alignment horizontal="center" vertical="center"/>
    </xf>
    <xf numFmtId="0" fontId="23" fillId="0" borderId="0" xfId="26" applyFont="1" applyFill="1" applyBorder="1" applyAlignment="1">
      <alignment horizontal="center"/>
    </xf>
    <xf numFmtId="0" fontId="36" fillId="0" borderId="27" xfId="0" applyFont="1" applyBorder="1" applyAlignment="1" applyProtection="1">
      <alignment horizontal="left" vertical="center"/>
    </xf>
    <xf numFmtId="49" fontId="36" fillId="0" borderId="44" xfId="0" applyNumberFormat="1" applyFont="1" applyBorder="1" applyAlignment="1" applyProtection="1">
      <alignment horizontal="left" vertical="center"/>
      <protection locked="0"/>
    </xf>
    <xf numFmtId="0" fontId="34" fillId="0" borderId="0" xfId="0" applyFont="1" applyAlignment="1">
      <alignment vertical="center"/>
    </xf>
    <xf numFmtId="20" fontId="34" fillId="0" borderId="13" xfId="0" applyNumberFormat="1" applyFont="1" applyBorder="1" applyAlignment="1" applyProtection="1">
      <alignment vertical="center"/>
    </xf>
    <xf numFmtId="20" fontId="34" fillId="0" borderId="13" xfId="0" applyNumberFormat="1" applyFont="1" applyBorder="1" applyAlignment="1" applyProtection="1">
      <alignment vertical="center"/>
      <protection locked="0"/>
    </xf>
    <xf numFmtId="0" fontId="25" fillId="0" borderId="0" xfId="0" applyFont="1" applyBorder="1" applyAlignment="1" applyProtection="1">
      <alignment vertical="center"/>
    </xf>
    <xf numFmtId="14" fontId="34" fillId="0" borderId="0" xfId="0" applyNumberFormat="1" applyFont="1" applyBorder="1" applyAlignment="1" applyProtection="1">
      <alignment horizontal="right" vertical="center"/>
      <protection locked="0"/>
    </xf>
    <xf numFmtId="0" fontId="34" fillId="0" borderId="0" xfId="0" applyFont="1" applyBorder="1" applyAlignment="1" applyProtection="1">
      <alignment horizontal="right" vertical="center"/>
      <protection locked="0"/>
    </xf>
    <xf numFmtId="0" fontId="36" fillId="15" borderId="31" xfId="0" applyFont="1" applyFill="1" applyBorder="1" applyAlignment="1" applyProtection="1">
      <alignment horizontal="center" vertical="center"/>
    </xf>
    <xf numFmtId="49" fontId="36" fillId="0" borderId="43" xfId="0" applyNumberFormat="1" applyFont="1" applyBorder="1" applyAlignment="1" applyProtection="1">
      <alignment horizontal="center" vertical="center"/>
      <protection locked="0"/>
    </xf>
    <xf numFmtId="0" fontId="36" fillId="0" borderId="0" xfId="0" applyFont="1" applyBorder="1" applyAlignment="1" applyProtection="1">
      <alignment vertical="center"/>
      <protection locked="0"/>
    </xf>
    <xf numFmtId="0" fontId="36" fillId="0" borderId="0" xfId="0" applyFont="1" applyBorder="1" applyAlignment="1" applyProtection="1">
      <alignment horizontal="center" vertical="center"/>
      <protection locked="0"/>
    </xf>
    <xf numFmtId="0" fontId="36" fillId="0" borderId="0" xfId="0" applyFont="1" applyAlignment="1">
      <alignment vertical="center"/>
    </xf>
    <xf numFmtId="0" fontId="36" fillId="0" borderId="0" xfId="0" applyFont="1" applyBorder="1" applyAlignment="1" applyProtection="1">
      <alignment horizontal="left" vertical="center" wrapText="1"/>
      <protection locked="0"/>
    </xf>
    <xf numFmtId="20" fontId="34" fillId="0" borderId="13" xfId="0" applyNumberFormat="1" applyFont="1" applyBorder="1" applyAlignment="1" applyProtection="1">
      <alignment horizontal="left" vertical="center"/>
      <protection locked="0"/>
    </xf>
    <xf numFmtId="0" fontId="36" fillId="15" borderId="38" xfId="0" applyFont="1" applyFill="1" applyBorder="1" applyAlignment="1" applyProtection="1">
      <alignment horizontal="center" vertical="center"/>
    </xf>
    <xf numFmtId="0" fontId="36" fillId="15" borderId="72" xfId="0" applyFont="1" applyFill="1" applyBorder="1" applyAlignment="1" applyProtection="1">
      <alignment horizontal="center" vertical="center"/>
    </xf>
    <xf numFmtId="49" fontId="36" fillId="0" borderId="71" xfId="0" applyNumberFormat="1" applyFont="1" applyBorder="1" applyAlignment="1" applyProtection="1">
      <alignment horizontal="left" vertical="center"/>
      <protection locked="0"/>
    </xf>
    <xf numFmtId="49" fontId="36" fillId="0" borderId="74" xfId="0" applyNumberFormat="1" applyFont="1" applyBorder="1" applyAlignment="1" applyProtection="1">
      <alignment horizontal="left" vertical="center"/>
      <protection locked="0"/>
    </xf>
    <xf numFmtId="49" fontId="36" fillId="0" borderId="28" xfId="0" applyNumberFormat="1" applyFont="1" applyBorder="1" applyAlignment="1" applyProtection="1">
      <alignment horizontal="left" vertical="center"/>
      <protection locked="0"/>
    </xf>
    <xf numFmtId="49" fontId="36" fillId="0" borderId="37" xfId="0" applyNumberFormat="1" applyFont="1" applyBorder="1" applyAlignment="1" applyProtection="1">
      <alignment horizontal="left" vertical="center"/>
      <protection locked="0"/>
    </xf>
    <xf numFmtId="0" fontId="36" fillId="0" borderId="33" xfId="0" applyFont="1" applyBorder="1" applyAlignment="1" applyProtection="1">
      <alignment vertical="center"/>
    </xf>
    <xf numFmtId="0" fontId="36" fillId="0" borderId="40" xfId="0" applyFont="1" applyBorder="1" applyAlignment="1" applyProtection="1">
      <alignment vertical="center"/>
    </xf>
    <xf numFmtId="49" fontId="36" fillId="15" borderId="38" xfId="0" applyNumberFormat="1" applyFont="1" applyFill="1" applyBorder="1" applyAlignment="1" applyProtection="1">
      <alignment horizontal="left" vertical="center"/>
    </xf>
    <xf numFmtId="49" fontId="36" fillId="0" borderId="44" xfId="0" applyNumberFormat="1" applyFont="1" applyBorder="1" applyAlignment="1" applyProtection="1">
      <alignment horizontal="left" vertical="center"/>
    </xf>
    <xf numFmtId="166" fontId="36" fillId="0" borderId="31" xfId="0" applyNumberFormat="1" applyFont="1" applyBorder="1" applyAlignment="1" applyProtection="1">
      <alignment horizontal="left" vertical="center"/>
      <protection locked="0"/>
    </xf>
    <xf numFmtId="166" fontId="36" fillId="0" borderId="43" xfId="0" applyNumberFormat="1" applyFont="1" applyBorder="1" applyAlignment="1" applyProtection="1">
      <alignment horizontal="left" vertical="center"/>
      <protection locked="0"/>
    </xf>
    <xf numFmtId="0" fontId="36" fillId="15" borderId="31" xfId="0" applyFont="1" applyFill="1" applyBorder="1" applyAlignment="1" applyProtection="1">
      <alignment vertical="center"/>
    </xf>
    <xf numFmtId="0" fontId="36" fillId="0" borderId="0" xfId="0" applyFont="1" applyAlignment="1" applyProtection="1">
      <alignment horizontal="right" vertical="center"/>
    </xf>
    <xf numFmtId="165" fontId="38" fillId="0" borderId="13" xfId="0" applyNumberFormat="1" applyFont="1" applyBorder="1" applyAlignment="1" applyProtection="1">
      <alignment horizontal="right" vertical="center"/>
    </xf>
    <xf numFmtId="0" fontId="38" fillId="0" borderId="13" xfId="0" applyNumberFormat="1" applyFont="1" applyBorder="1" applyAlignment="1" applyProtection="1">
      <alignment vertical="center"/>
    </xf>
    <xf numFmtId="0" fontId="36" fillId="0" borderId="27" xfId="0" applyFont="1" applyBorder="1" applyAlignment="1" applyProtection="1">
      <alignment horizontal="left" vertical="center"/>
      <protection locked="0"/>
    </xf>
    <xf numFmtId="0" fontId="36" fillId="0" borderId="44" xfId="0" applyNumberFormat="1" applyFont="1" applyBorder="1" applyAlignment="1" applyProtection="1">
      <alignment horizontal="left" vertical="center"/>
      <protection locked="0"/>
    </xf>
    <xf numFmtId="0" fontId="36" fillId="0" borderId="43" xfId="0" applyNumberFormat="1" applyFont="1" applyBorder="1" applyAlignment="1" applyProtection="1">
      <alignment horizontal="center" vertical="center"/>
      <protection locked="0"/>
    </xf>
    <xf numFmtId="0" fontId="36" fillId="0" borderId="71" xfId="0" applyNumberFormat="1" applyFont="1" applyBorder="1" applyAlignment="1" applyProtection="1">
      <alignment horizontal="left" vertical="center"/>
      <protection locked="0"/>
    </xf>
    <xf numFmtId="0" fontId="36" fillId="0" borderId="12" xfId="0" applyNumberFormat="1" applyFont="1" applyBorder="1" applyAlignment="1" applyProtection="1">
      <alignment horizontal="center" vertical="center"/>
      <protection locked="0"/>
    </xf>
    <xf numFmtId="0" fontId="36" fillId="0" borderId="25" xfId="0" applyNumberFormat="1" applyFont="1" applyBorder="1" applyAlignment="1" applyProtection="1">
      <alignment horizontal="center" vertical="center"/>
      <protection locked="0"/>
    </xf>
    <xf numFmtId="49" fontId="36" fillId="0" borderId="15" xfId="0" quotePrefix="1" applyNumberFormat="1" applyFont="1" applyBorder="1" applyAlignment="1" applyProtection="1">
      <alignment horizontal="left" vertical="center" wrapText="1"/>
      <protection locked="0"/>
    </xf>
    <xf numFmtId="49" fontId="36" fillId="0" borderId="0" xfId="0" applyNumberFormat="1" applyFont="1" applyBorder="1" applyAlignment="1" applyProtection="1">
      <alignment horizontal="left" vertical="center" wrapText="1"/>
      <protection locked="0"/>
    </xf>
    <xf numFmtId="49" fontId="36" fillId="0" borderId="26" xfId="0" applyNumberFormat="1" applyFont="1" applyBorder="1" applyAlignment="1" applyProtection="1">
      <alignment horizontal="left" vertical="center" wrapText="1"/>
      <protection locked="0"/>
    </xf>
    <xf numFmtId="0" fontId="37" fillId="0" borderId="18" xfId="0" applyFont="1" applyBorder="1" applyAlignment="1" applyProtection="1">
      <alignment horizontal="left" vertical="center"/>
    </xf>
    <xf numFmtId="0" fontId="37" fillId="0" borderId="18" xfId="0" applyFont="1" applyBorder="1" applyAlignment="1" applyProtection="1">
      <alignment horizontal="left" vertical="center"/>
      <protection locked="0"/>
    </xf>
    <xf numFmtId="0" fontId="25" fillId="0" borderId="13" xfId="0" applyFont="1" applyBorder="1" applyAlignment="1" applyProtection="1">
      <alignment horizontal="left" vertical="center"/>
    </xf>
    <xf numFmtId="0" fontId="34" fillId="0" borderId="13" xfId="0" applyFont="1" applyBorder="1" applyAlignment="1" applyProtection="1">
      <alignment horizontal="left" vertical="center"/>
      <protection locked="0"/>
    </xf>
    <xf numFmtId="0" fontId="35" fillId="15" borderId="65" xfId="0" applyFont="1" applyFill="1" applyBorder="1" applyAlignment="1" applyProtection="1">
      <alignment horizontal="center" vertical="center" textRotation="90"/>
    </xf>
    <xf numFmtId="0" fontId="35" fillId="15" borderId="69" xfId="0" applyFont="1" applyFill="1" applyBorder="1" applyAlignment="1" applyProtection="1">
      <alignment horizontal="center" vertical="center" textRotation="90"/>
    </xf>
    <xf numFmtId="0" fontId="36" fillId="0" borderId="66" xfId="0" applyFont="1" applyBorder="1" applyAlignment="1" applyProtection="1">
      <alignment horizontal="center" vertical="center"/>
      <protection locked="0"/>
    </xf>
    <xf numFmtId="0" fontId="36" fillId="0" borderId="22" xfId="0" applyFont="1" applyBorder="1" applyAlignment="1" applyProtection="1">
      <alignment horizontal="center" vertical="center"/>
      <protection locked="0"/>
    </xf>
    <xf numFmtId="0" fontId="36" fillId="0" borderId="67" xfId="0" applyFont="1" applyBorder="1" applyAlignment="1" applyProtection="1">
      <alignment horizontal="center" vertical="center"/>
      <protection locked="0"/>
    </xf>
    <xf numFmtId="0" fontId="35" fillId="15" borderId="68" xfId="0" applyFont="1" applyFill="1" applyBorder="1" applyAlignment="1" applyProtection="1">
      <alignment horizontal="center" vertical="center" textRotation="90" wrapText="1"/>
    </xf>
    <xf numFmtId="0" fontId="35" fillId="15" borderId="36" xfId="0" applyFont="1" applyFill="1" applyBorder="1" applyAlignment="1" applyProtection="1">
      <alignment horizontal="center" vertical="center" textRotation="90" wrapText="1"/>
    </xf>
    <xf numFmtId="0" fontId="36" fillId="0" borderId="70" xfId="0" applyFont="1" applyBorder="1" applyAlignment="1" applyProtection="1">
      <alignment horizontal="center" vertical="center"/>
      <protection locked="0"/>
    </xf>
    <xf numFmtId="0" fontId="36" fillId="0" borderId="29" xfId="0" applyFont="1" applyBorder="1" applyAlignment="1" applyProtection="1">
      <alignment horizontal="center" vertical="center"/>
      <protection locked="0"/>
    </xf>
    <xf numFmtId="0" fontId="36" fillId="0" borderId="71" xfId="0" applyFont="1" applyBorder="1" applyAlignment="1" applyProtection="1">
      <alignment horizontal="center" vertical="center"/>
      <protection locked="0"/>
    </xf>
    <xf numFmtId="0" fontId="35" fillId="15" borderId="21" xfId="0" applyFont="1" applyFill="1" applyBorder="1" applyAlignment="1" applyProtection="1">
      <alignment horizontal="center" vertical="center" textRotation="90"/>
    </xf>
    <xf numFmtId="0" fontId="35" fillId="15" borderId="20" xfId="0" applyFont="1" applyFill="1" applyBorder="1" applyAlignment="1" applyProtection="1">
      <alignment horizontal="center" vertical="center" textRotation="90"/>
    </xf>
    <xf numFmtId="0" fontId="35" fillId="15" borderId="47" xfId="0" applyFont="1" applyFill="1" applyBorder="1" applyAlignment="1" applyProtection="1">
      <alignment horizontal="center" vertical="center" textRotation="90"/>
    </xf>
    <xf numFmtId="49" fontId="36" fillId="15" borderId="32" xfId="0" applyNumberFormat="1" applyFont="1" applyFill="1" applyBorder="1" applyAlignment="1" applyProtection="1">
      <alignment horizontal="center" vertical="center"/>
    </xf>
    <xf numFmtId="49" fontId="36" fillId="15" borderId="24" xfId="0" applyNumberFormat="1" applyFont="1" applyFill="1" applyBorder="1" applyAlignment="1" applyProtection="1">
      <alignment horizontal="center" vertical="center"/>
    </xf>
    <xf numFmtId="0" fontId="35" fillId="15" borderId="73" xfId="0" applyFont="1" applyFill="1" applyBorder="1" applyAlignment="1" applyProtection="1">
      <alignment horizontal="center" vertical="center" textRotation="90"/>
    </xf>
    <xf numFmtId="49" fontId="36" fillId="15" borderId="33" xfId="0" applyNumberFormat="1" applyFont="1" applyFill="1" applyBorder="1" applyAlignment="1" applyProtection="1">
      <alignment horizontal="center" vertical="center"/>
    </xf>
    <xf numFmtId="49" fontId="36" fillId="15" borderId="31" xfId="0" applyNumberFormat="1" applyFont="1" applyFill="1" applyBorder="1" applyAlignment="1" applyProtection="1">
      <alignment horizontal="center" vertical="center"/>
    </xf>
    <xf numFmtId="49" fontId="36" fillId="0" borderId="17" xfId="0" quotePrefix="1" applyNumberFormat="1" applyFont="1" applyBorder="1" applyAlignment="1" applyProtection="1">
      <alignment horizontal="left" vertical="center" wrapText="1"/>
      <protection locked="0"/>
    </xf>
    <xf numFmtId="49" fontId="36" fillId="0" borderId="19" xfId="0" quotePrefix="1" applyNumberFormat="1" applyFont="1" applyBorder="1" applyAlignment="1" applyProtection="1">
      <alignment horizontal="left" vertical="center" wrapText="1"/>
      <protection locked="0"/>
    </xf>
    <xf numFmtId="49" fontId="36" fillId="0" borderId="41" xfId="0" quotePrefix="1" applyNumberFormat="1" applyFont="1" applyBorder="1" applyAlignment="1" applyProtection="1">
      <alignment horizontal="left" vertical="center" wrapText="1"/>
      <protection locked="0"/>
    </xf>
    <xf numFmtId="49" fontId="36" fillId="0" borderId="0" xfId="0" quotePrefix="1" applyNumberFormat="1" applyFont="1" applyBorder="1" applyAlignment="1" applyProtection="1">
      <alignment horizontal="left" vertical="center" wrapText="1"/>
      <protection locked="0"/>
    </xf>
    <xf numFmtId="49" fontId="36" fillId="0" borderId="26" xfId="0" quotePrefix="1" applyNumberFormat="1" applyFont="1" applyBorder="1" applyAlignment="1" applyProtection="1">
      <alignment horizontal="left" vertical="center" wrapText="1"/>
      <protection locked="0"/>
    </xf>
    <xf numFmtId="0" fontId="35" fillId="0" borderId="18" xfId="0" applyFont="1" applyBorder="1" applyAlignment="1" applyProtection="1">
      <alignment horizontal="center" vertical="center"/>
      <protection locked="0"/>
    </xf>
    <xf numFmtId="0" fontId="36" fillId="0" borderId="18" xfId="0" applyFont="1" applyBorder="1" applyAlignment="1" applyProtection="1">
      <alignment horizontal="center" vertical="center"/>
      <protection locked="0"/>
    </xf>
    <xf numFmtId="0" fontId="36" fillId="0" borderId="19" xfId="0" applyFont="1" applyBorder="1" applyAlignment="1" applyProtection="1">
      <alignment horizontal="center" vertical="center"/>
    </xf>
    <xf numFmtId="49" fontId="35" fillId="15" borderId="65" xfId="0" applyNumberFormat="1" applyFont="1" applyFill="1" applyBorder="1" applyAlignment="1" applyProtection="1">
      <alignment horizontal="center" vertical="center" textRotation="90"/>
    </xf>
    <xf numFmtId="49" fontId="35" fillId="15" borderId="73" xfId="0" applyNumberFormat="1" applyFont="1" applyFill="1" applyBorder="1" applyAlignment="1" applyProtection="1">
      <alignment horizontal="center" vertical="center" textRotation="90"/>
    </xf>
    <xf numFmtId="49" fontId="35" fillId="15" borderId="69" xfId="0" applyNumberFormat="1" applyFont="1" applyFill="1" applyBorder="1" applyAlignment="1" applyProtection="1">
      <alignment horizontal="center" vertical="center" textRotation="90"/>
    </xf>
    <xf numFmtId="0" fontId="36" fillId="15" borderId="32" xfId="0" applyFont="1" applyFill="1" applyBorder="1" applyAlignment="1" applyProtection="1">
      <alignment horizontal="left" vertical="center"/>
    </xf>
    <xf numFmtId="0" fontId="36" fillId="15" borderId="23" xfId="0" applyFont="1" applyFill="1" applyBorder="1" applyAlignment="1" applyProtection="1">
      <alignment horizontal="left" vertical="center"/>
    </xf>
    <xf numFmtId="0" fontId="36" fillId="15" borderId="72" xfId="0" applyFont="1" applyFill="1" applyBorder="1" applyAlignment="1" applyProtection="1">
      <alignment horizontal="left" vertical="center"/>
    </xf>
    <xf numFmtId="49" fontId="36" fillId="0" borderId="11" xfId="0" quotePrefix="1" applyNumberFormat="1" applyFont="1" applyBorder="1" applyAlignment="1" applyProtection="1">
      <alignment horizontal="left" vertical="center"/>
      <protection locked="0"/>
    </xf>
    <xf numFmtId="49" fontId="36" fillId="0" borderId="11" xfId="0" applyNumberFormat="1" applyFont="1" applyBorder="1" applyAlignment="1" applyProtection="1">
      <alignment horizontal="left" vertical="center"/>
      <protection locked="0"/>
    </xf>
    <xf numFmtId="49" fontId="36" fillId="0" borderId="15" xfId="0" quotePrefix="1" applyNumberFormat="1" applyFont="1" applyBorder="1" applyAlignment="1" applyProtection="1">
      <alignment horizontal="left" vertical="center"/>
      <protection locked="0"/>
    </xf>
    <xf numFmtId="49" fontId="36" fillId="0" borderId="0" xfId="0" quotePrefix="1" applyNumberFormat="1" applyFont="1" applyBorder="1" applyAlignment="1" applyProtection="1">
      <alignment horizontal="left" vertical="center"/>
      <protection locked="0"/>
    </xf>
    <xf numFmtId="49" fontId="36" fillId="0" borderId="16" xfId="0" quotePrefix="1" applyNumberFormat="1" applyFont="1" applyBorder="1" applyAlignment="1" applyProtection="1">
      <alignment horizontal="left" vertical="center"/>
      <protection locked="0"/>
    </xf>
    <xf numFmtId="49" fontId="36" fillId="0" borderId="15" xfId="0" applyNumberFormat="1" applyFont="1" applyBorder="1" applyAlignment="1" applyProtection="1">
      <alignment horizontal="left" vertical="center"/>
      <protection locked="0"/>
    </xf>
    <xf numFmtId="49" fontId="36" fillId="0" borderId="16" xfId="0" applyNumberFormat="1" applyFont="1" applyBorder="1" applyAlignment="1" applyProtection="1">
      <alignment horizontal="left" vertical="center"/>
      <protection locked="0"/>
    </xf>
    <xf numFmtId="49" fontId="36" fillId="0" borderId="36" xfId="0" quotePrefix="1" applyNumberFormat="1" applyFont="1" applyBorder="1" applyAlignment="1" applyProtection="1">
      <alignment horizontal="left" vertical="center"/>
      <protection locked="0"/>
    </xf>
    <xf numFmtId="49" fontId="36" fillId="0" borderId="36" xfId="0" applyNumberFormat="1" applyFont="1" applyBorder="1" applyAlignment="1" applyProtection="1">
      <alignment horizontal="left" vertical="center"/>
      <protection locked="0"/>
    </xf>
    <xf numFmtId="49" fontId="36" fillId="0" borderId="34" xfId="0" quotePrefix="1" applyNumberFormat="1" applyFont="1" applyBorder="1" applyAlignment="1" applyProtection="1">
      <alignment horizontal="left" vertical="center" wrapText="1"/>
      <protection locked="0"/>
    </xf>
    <xf numFmtId="49" fontId="36" fillId="0" borderId="35" xfId="0" applyNumberFormat="1" applyFont="1" applyBorder="1" applyAlignment="1" applyProtection="1">
      <alignment horizontal="left" vertical="center"/>
      <protection locked="0"/>
    </xf>
    <xf numFmtId="49" fontId="36" fillId="0" borderId="49" xfId="0" applyNumberFormat="1" applyFont="1" applyBorder="1" applyAlignment="1" applyProtection="1">
      <alignment horizontal="left" vertical="center"/>
      <protection locked="0"/>
    </xf>
    <xf numFmtId="0" fontId="36" fillId="0" borderId="45" xfId="0" applyNumberFormat="1" applyFont="1" applyBorder="1" applyAlignment="1" applyProtection="1">
      <alignment horizontal="left" vertical="center"/>
      <protection locked="0"/>
    </xf>
    <xf numFmtId="0" fontId="36" fillId="0" borderId="63" xfId="0" applyNumberFormat="1" applyFont="1" applyBorder="1" applyAlignment="1" applyProtection="1">
      <alignment horizontal="left" vertical="center"/>
      <protection locked="0"/>
    </xf>
    <xf numFmtId="0" fontId="36" fillId="0" borderId="74" xfId="0" applyNumberFormat="1" applyFont="1" applyBorder="1" applyAlignment="1" applyProtection="1">
      <alignment horizontal="center" vertical="center"/>
      <protection locked="0"/>
    </xf>
    <xf numFmtId="0" fontId="36" fillId="0" borderId="64" xfId="0" applyNumberFormat="1" applyFont="1" applyBorder="1" applyAlignment="1" applyProtection="1">
      <alignment horizontal="center" vertical="center"/>
      <protection locked="0"/>
    </xf>
    <xf numFmtId="49" fontId="36" fillId="0" borderId="35" xfId="0" applyNumberFormat="1" applyFont="1" applyBorder="1" applyAlignment="1" applyProtection="1">
      <alignment horizontal="left" vertical="center" wrapText="1"/>
      <protection locked="0"/>
    </xf>
    <xf numFmtId="49" fontId="36" fillId="0" borderId="49" xfId="0" applyNumberFormat="1" applyFont="1" applyBorder="1" applyAlignment="1" applyProtection="1">
      <alignment horizontal="left" vertical="center" wrapText="1"/>
      <protection locked="0"/>
    </xf>
    <xf numFmtId="49" fontId="35" fillId="15" borderId="38" xfId="0" applyNumberFormat="1" applyFont="1" applyFill="1" applyBorder="1" applyAlignment="1" applyProtection="1">
      <alignment horizontal="center" vertical="center" textRotation="90"/>
    </xf>
    <xf numFmtId="49" fontId="35" fillId="15" borderId="27" xfId="0" applyNumberFormat="1" applyFont="1" applyFill="1" applyBorder="1" applyAlignment="1" applyProtection="1">
      <alignment horizontal="center" vertical="center" textRotation="90"/>
    </xf>
    <xf numFmtId="49" fontId="35" fillId="15" borderId="45" xfId="0" applyNumberFormat="1" applyFont="1" applyFill="1" applyBorder="1" applyAlignment="1" applyProtection="1">
      <alignment horizontal="center" vertical="center" textRotation="90"/>
    </xf>
    <xf numFmtId="49" fontId="36" fillId="15" borderId="32" xfId="0" applyNumberFormat="1" applyFont="1" applyFill="1" applyBorder="1" applyAlignment="1" applyProtection="1">
      <alignment horizontal="left" vertical="center"/>
    </xf>
    <xf numFmtId="49" fontId="36" fillId="15" borderId="23" xfId="0" applyNumberFormat="1" applyFont="1" applyFill="1" applyBorder="1" applyAlignment="1" applyProtection="1">
      <alignment horizontal="left" vertical="center"/>
    </xf>
    <xf numFmtId="49" fontId="36" fillId="15" borderId="72" xfId="0" applyNumberFormat="1" applyFont="1" applyFill="1" applyBorder="1" applyAlignment="1" applyProtection="1">
      <alignment horizontal="left" vertical="center"/>
    </xf>
    <xf numFmtId="49" fontId="36" fillId="15" borderId="24" xfId="0" applyNumberFormat="1" applyFont="1" applyFill="1" applyBorder="1" applyAlignment="1" applyProtection="1">
      <alignment horizontal="left" vertical="center"/>
    </xf>
    <xf numFmtId="165" fontId="34" fillId="0" borderId="13" xfId="0" applyNumberFormat="1" applyFont="1" applyBorder="1" applyAlignment="1" applyProtection="1">
      <alignment horizontal="left" vertical="center"/>
      <protection locked="0"/>
    </xf>
    <xf numFmtId="49" fontId="36" fillId="0" borderId="66" xfId="0" applyNumberFormat="1" applyFont="1" applyBorder="1" applyAlignment="1" applyProtection="1">
      <alignment horizontal="left" vertical="center" wrapText="1"/>
      <protection locked="0"/>
    </xf>
    <xf numFmtId="49" fontId="36" fillId="0" borderId="22" xfId="0" applyNumberFormat="1" applyFont="1" applyBorder="1" applyAlignment="1" applyProtection="1">
      <alignment horizontal="left" vertical="center" wrapText="1"/>
      <protection locked="0"/>
    </xf>
    <xf numFmtId="49" fontId="36" fillId="0" borderId="46" xfId="0" applyNumberFormat="1" applyFont="1" applyBorder="1" applyAlignment="1" applyProtection="1">
      <alignment horizontal="left" vertical="center" wrapText="1"/>
      <protection locked="0"/>
    </xf>
    <xf numFmtId="49" fontId="36" fillId="0" borderId="0" xfId="0" applyNumberFormat="1" applyFont="1" applyBorder="1" applyAlignment="1" applyProtection="1">
      <alignment horizontal="left" vertical="center"/>
      <protection locked="0"/>
    </xf>
    <xf numFmtId="49" fontId="36" fillId="0" borderId="17" xfId="0" quotePrefix="1" applyNumberFormat="1" applyFont="1" applyBorder="1" applyAlignment="1" applyProtection="1">
      <alignment horizontal="left" vertical="center"/>
      <protection locked="0"/>
    </xf>
    <xf numFmtId="49" fontId="36" fillId="0" borderId="19" xfId="0" quotePrefix="1" applyNumberFormat="1" applyFont="1" applyBorder="1" applyAlignment="1" applyProtection="1">
      <alignment horizontal="left" vertical="center"/>
      <protection locked="0"/>
    </xf>
    <xf numFmtId="49" fontId="36" fillId="0" borderId="41" xfId="0" quotePrefix="1" applyNumberFormat="1" applyFont="1" applyBorder="1" applyAlignment="1" applyProtection="1">
      <alignment horizontal="left" vertical="center"/>
      <protection locked="0"/>
    </xf>
    <xf numFmtId="49" fontId="36" fillId="0" borderId="26" xfId="0" quotePrefix="1" applyNumberFormat="1" applyFont="1" applyBorder="1" applyAlignment="1" applyProtection="1">
      <alignment horizontal="left" vertical="center"/>
      <protection locked="0"/>
    </xf>
    <xf numFmtId="49" fontId="36" fillId="0" borderId="26" xfId="0" applyNumberFormat="1" applyFont="1" applyBorder="1" applyAlignment="1" applyProtection="1">
      <alignment horizontal="left" vertical="center"/>
      <protection locked="0"/>
    </xf>
    <xf numFmtId="0" fontId="36" fillId="0" borderId="70" xfId="0" applyNumberFormat="1" applyFont="1" applyBorder="1" applyAlignment="1" applyProtection="1">
      <alignment horizontal="center" vertical="center"/>
    </xf>
    <xf numFmtId="0" fontId="36" fillId="0" borderId="30" xfId="0" applyNumberFormat="1" applyFont="1" applyBorder="1" applyAlignment="1" applyProtection="1">
      <alignment horizontal="center" vertical="center"/>
    </xf>
    <xf numFmtId="0" fontId="34" fillId="0" borderId="13" xfId="0" applyFont="1" applyBorder="1" applyAlignment="1" applyProtection="1">
      <alignment horizontal="left" vertical="center"/>
    </xf>
    <xf numFmtId="165" fontId="34" fillId="0" borderId="13" xfId="0" applyNumberFormat="1" applyFont="1" applyBorder="1" applyAlignment="1" applyProtection="1">
      <alignment horizontal="left" vertical="center"/>
    </xf>
    <xf numFmtId="49" fontId="36" fillId="0" borderId="45" xfId="0" applyNumberFormat="1" applyFont="1" applyBorder="1" applyAlignment="1" applyProtection="1">
      <alignment horizontal="left" vertical="center"/>
      <protection locked="0"/>
    </xf>
    <xf numFmtId="49" fontId="36" fillId="0" borderId="63" xfId="0" applyNumberFormat="1" applyFont="1" applyBorder="1" applyAlignment="1" applyProtection="1">
      <alignment horizontal="left" vertical="center"/>
      <protection locked="0"/>
    </xf>
    <xf numFmtId="49" fontId="36" fillId="0" borderId="74" xfId="0" applyNumberFormat="1" applyFont="1" applyBorder="1" applyAlignment="1" applyProtection="1">
      <alignment horizontal="center" vertical="center"/>
      <protection locked="0"/>
    </xf>
    <xf numFmtId="49" fontId="36" fillId="0" borderId="64" xfId="0" applyNumberFormat="1" applyFont="1" applyBorder="1" applyAlignment="1" applyProtection="1">
      <alignment horizontal="center" vertical="center"/>
      <protection locked="0"/>
    </xf>
    <xf numFmtId="49" fontId="36" fillId="0" borderId="34" xfId="0" quotePrefix="1" applyNumberFormat="1" applyFont="1" applyBorder="1" applyAlignment="1" applyProtection="1">
      <alignment horizontal="left" vertical="center" wrapText="1"/>
    </xf>
    <xf numFmtId="49" fontId="36" fillId="0" borderId="35" xfId="0" applyNumberFormat="1" applyFont="1" applyBorder="1" applyAlignment="1" applyProtection="1">
      <alignment horizontal="left" vertical="center" wrapText="1"/>
    </xf>
    <xf numFmtId="49" fontId="36" fillId="0" borderId="49" xfId="0" applyNumberFormat="1" applyFont="1" applyBorder="1" applyAlignment="1" applyProtection="1">
      <alignment horizontal="left" vertical="center" wrapText="1"/>
    </xf>
  </cellXfs>
  <cellStyles count="28">
    <cellStyle name="Akzent1" xfId="1" builtinId="29" customBuiltin="1"/>
    <cellStyle name="Akzent2" xfId="2" builtinId="33" customBuiltin="1"/>
    <cellStyle name="Akzent3" xfId="3" builtinId="37" customBuiltin="1"/>
    <cellStyle name="Akzent4" xfId="4" builtinId="41" customBuiltin="1"/>
    <cellStyle name="Akzent5" xfId="5" builtinId="45" customBuiltin="1"/>
    <cellStyle name="Akzent6" xfId="6" builtinId="49" customBuiltin="1"/>
    <cellStyle name="Ausgabe" xfId="7" builtinId="21" customBuiltin="1"/>
    <cellStyle name="Berechnung" xfId="8" builtinId="22" customBuiltin="1"/>
    <cellStyle name="Eingabe" xfId="9" builtinId="20" customBuiltin="1"/>
    <cellStyle name="Ergebnis" xfId="10" builtinId="25" customBuiltin="1"/>
    <cellStyle name="Erklärender Text" xfId="11" builtinId="53" customBuiltin="1"/>
    <cellStyle name="Gut" xfId="12" builtinId="26" customBuiltin="1"/>
    <cellStyle name="Neutral" xfId="13" builtinId="28" customBuiltin="1"/>
    <cellStyle name="Notiz" xfId="14" builtinId="10" customBuiltin="1"/>
    <cellStyle name="Schlecht" xfId="15" builtinId="27" customBuiltin="1"/>
    <cellStyle name="Standard" xfId="0" builtinId="0"/>
    <cellStyle name="Standard 2" xfId="24"/>
    <cellStyle name="Standard 3" xfId="26"/>
    <cellStyle name="Überschrift" xfId="16" builtinId="15" customBuiltin="1"/>
    <cellStyle name="Überschrift 1" xfId="17" builtinId="16" customBuiltin="1"/>
    <cellStyle name="Überschrift 2" xfId="18" builtinId="17" customBuiltin="1"/>
    <cellStyle name="Überschrift 3" xfId="19" builtinId="18" customBuiltin="1"/>
    <cellStyle name="Überschrift 4" xfId="20" builtinId="19" customBuiltin="1"/>
    <cellStyle name="Verknüpfte Zelle" xfId="21" builtinId="24" customBuiltin="1"/>
    <cellStyle name="Währung 2" xfId="25"/>
    <cellStyle name="Währung 3" xfId="27"/>
    <cellStyle name="Warnender Text" xfId="22" builtinId="11" customBuiltin="1"/>
    <cellStyle name="Zelle überprüfen" xfId="2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6/relationships/vbaProject" Target="vbaProject.bin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76200</xdr:colOff>
          <xdr:row>0</xdr:row>
          <xdr:rowOff>28575</xdr:rowOff>
        </xdr:from>
        <xdr:to>
          <xdr:col>8</xdr:col>
          <xdr:colOff>771525</xdr:colOff>
          <xdr:row>2</xdr:row>
          <xdr:rowOff>180975</xdr:rowOff>
        </xdr:to>
        <xdr:sp macro="" textlink="">
          <xdr:nvSpPr>
            <xdr:cNvPr id="1072" name="Button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Excel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0</xdr:row>
          <xdr:rowOff>28575</xdr:rowOff>
        </xdr:from>
        <xdr:to>
          <xdr:col>9</xdr:col>
          <xdr:colOff>685800</xdr:colOff>
          <xdr:row>2</xdr:row>
          <xdr:rowOff>180975</xdr:rowOff>
        </xdr:to>
        <xdr:sp macro="" textlink="">
          <xdr:nvSpPr>
            <xdr:cNvPr id="1073" name="Button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312419</xdr:colOff>
      <xdr:row>0</xdr:row>
      <xdr:rowOff>30480</xdr:rowOff>
    </xdr:from>
    <xdr:to>
      <xdr:col>7</xdr:col>
      <xdr:colOff>854154</xdr:colOff>
      <xdr:row>5</xdr:row>
      <xdr:rowOff>147477</xdr:rowOff>
    </xdr:to>
    <xdr:pic>
      <xdr:nvPicPr>
        <xdr:cNvPr id="35" name="Grafik 34" descr="Kurt Motz_Logo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44719" y="208280"/>
          <a:ext cx="1792685" cy="10948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4</xdr:col>
          <xdr:colOff>1190625</xdr:colOff>
          <xdr:row>31</xdr:row>
          <xdr:rowOff>190500</xdr:rowOff>
        </xdr:to>
        <xdr:sp macro="" textlink="">
          <xdr:nvSpPr>
            <xdr:cNvPr id="1075" name="ComboBox2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4</xdr:col>
          <xdr:colOff>1190625</xdr:colOff>
          <xdr:row>32</xdr:row>
          <xdr:rowOff>190500</xdr:rowOff>
        </xdr:to>
        <xdr:sp macro="" textlink="">
          <xdr:nvSpPr>
            <xdr:cNvPr id="1077" name="ComboBox1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4</xdr:col>
          <xdr:colOff>1190625</xdr:colOff>
          <xdr:row>33</xdr:row>
          <xdr:rowOff>190500</xdr:rowOff>
        </xdr:to>
        <xdr:sp macro="" textlink="">
          <xdr:nvSpPr>
            <xdr:cNvPr id="1078" name="ComboBox3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9525</xdr:rowOff>
        </xdr:from>
        <xdr:to>
          <xdr:col>4</xdr:col>
          <xdr:colOff>1190625</xdr:colOff>
          <xdr:row>34</xdr:row>
          <xdr:rowOff>190500</xdr:rowOff>
        </xdr:to>
        <xdr:sp macro="" textlink="">
          <xdr:nvSpPr>
            <xdr:cNvPr id="1079" name="ComboBox4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9525</xdr:rowOff>
        </xdr:from>
        <xdr:to>
          <xdr:col>7</xdr:col>
          <xdr:colOff>876300</xdr:colOff>
          <xdr:row>31</xdr:row>
          <xdr:rowOff>200025</xdr:rowOff>
        </xdr:to>
        <xdr:sp macro="" textlink="">
          <xdr:nvSpPr>
            <xdr:cNvPr id="1080" name="ComboBox5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9525</xdr:rowOff>
        </xdr:from>
        <xdr:to>
          <xdr:col>7</xdr:col>
          <xdr:colOff>876300</xdr:colOff>
          <xdr:row>32</xdr:row>
          <xdr:rowOff>190500</xdr:rowOff>
        </xdr:to>
        <xdr:sp macro="" textlink="">
          <xdr:nvSpPr>
            <xdr:cNvPr id="1081" name="ComboBox6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9525</xdr:rowOff>
        </xdr:from>
        <xdr:to>
          <xdr:col>7</xdr:col>
          <xdr:colOff>876300</xdr:colOff>
          <xdr:row>33</xdr:row>
          <xdr:rowOff>190500</xdr:rowOff>
        </xdr:to>
        <xdr:sp macro="" textlink="">
          <xdr:nvSpPr>
            <xdr:cNvPr id="1082" name="ComboBox7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9525</xdr:rowOff>
        </xdr:from>
        <xdr:to>
          <xdr:col>7</xdr:col>
          <xdr:colOff>876300</xdr:colOff>
          <xdr:row>34</xdr:row>
          <xdr:rowOff>190500</xdr:rowOff>
        </xdr:to>
        <xdr:sp macro="" textlink="">
          <xdr:nvSpPr>
            <xdr:cNvPr id="1083" name="ComboBox8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0</xdr:row>
          <xdr:rowOff>28575</xdr:rowOff>
        </xdr:from>
        <xdr:to>
          <xdr:col>9</xdr:col>
          <xdr:colOff>685800</xdr:colOff>
          <xdr:row>2</xdr:row>
          <xdr:rowOff>180975</xdr:rowOff>
        </xdr:to>
        <xdr:sp macro="" textlink="">
          <xdr:nvSpPr>
            <xdr:cNvPr id="5134" name="Button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312419</xdr:colOff>
      <xdr:row>0</xdr:row>
      <xdr:rowOff>30480</xdr:rowOff>
    </xdr:from>
    <xdr:to>
      <xdr:col>7</xdr:col>
      <xdr:colOff>854154</xdr:colOff>
      <xdr:row>5</xdr:row>
      <xdr:rowOff>147477</xdr:rowOff>
    </xdr:to>
    <xdr:pic>
      <xdr:nvPicPr>
        <xdr:cNvPr id="16" name="Grafik 15" descr="Kurt Motz_Logo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1519" y="30480"/>
          <a:ext cx="1760935" cy="11837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4</xdr:col>
          <xdr:colOff>1190625</xdr:colOff>
          <xdr:row>31</xdr:row>
          <xdr:rowOff>190500</xdr:rowOff>
        </xdr:to>
        <xdr:sp macro="" textlink="">
          <xdr:nvSpPr>
            <xdr:cNvPr id="5135" name="ComboBox1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9525</xdr:rowOff>
        </xdr:from>
        <xdr:to>
          <xdr:col>7</xdr:col>
          <xdr:colOff>876300</xdr:colOff>
          <xdr:row>31</xdr:row>
          <xdr:rowOff>200025</xdr:rowOff>
        </xdr:to>
        <xdr:sp macro="" textlink="">
          <xdr:nvSpPr>
            <xdr:cNvPr id="5136" name="ComboBox2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4</xdr:col>
          <xdr:colOff>1190625</xdr:colOff>
          <xdr:row>32</xdr:row>
          <xdr:rowOff>190500</xdr:rowOff>
        </xdr:to>
        <xdr:sp macro="" textlink="">
          <xdr:nvSpPr>
            <xdr:cNvPr id="5137" name="ComboBox3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9525</xdr:rowOff>
        </xdr:from>
        <xdr:to>
          <xdr:col>7</xdr:col>
          <xdr:colOff>876300</xdr:colOff>
          <xdr:row>32</xdr:row>
          <xdr:rowOff>190500</xdr:rowOff>
        </xdr:to>
        <xdr:sp macro="" textlink="">
          <xdr:nvSpPr>
            <xdr:cNvPr id="5138" name="ComboBox4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4</xdr:col>
          <xdr:colOff>1190625</xdr:colOff>
          <xdr:row>33</xdr:row>
          <xdr:rowOff>190500</xdr:rowOff>
        </xdr:to>
        <xdr:sp macro="" textlink="">
          <xdr:nvSpPr>
            <xdr:cNvPr id="5139" name="ComboBox6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9525</xdr:rowOff>
        </xdr:from>
        <xdr:to>
          <xdr:col>7</xdr:col>
          <xdr:colOff>876300</xdr:colOff>
          <xdr:row>33</xdr:row>
          <xdr:rowOff>190500</xdr:rowOff>
        </xdr:to>
        <xdr:sp macro="" textlink="">
          <xdr:nvSpPr>
            <xdr:cNvPr id="5140" name="ComboBox5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9525</xdr:rowOff>
        </xdr:from>
        <xdr:to>
          <xdr:col>4</xdr:col>
          <xdr:colOff>1190625</xdr:colOff>
          <xdr:row>34</xdr:row>
          <xdr:rowOff>190500</xdr:rowOff>
        </xdr:to>
        <xdr:sp macro="" textlink="">
          <xdr:nvSpPr>
            <xdr:cNvPr id="5141" name="ComboBox7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9525</xdr:rowOff>
        </xdr:from>
        <xdr:to>
          <xdr:col>7</xdr:col>
          <xdr:colOff>876300</xdr:colOff>
          <xdr:row>34</xdr:row>
          <xdr:rowOff>190500</xdr:rowOff>
        </xdr:to>
        <xdr:sp macro="" textlink="">
          <xdr:nvSpPr>
            <xdr:cNvPr id="5142" name="ComboBox8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0</xdr:row>
          <xdr:rowOff>28575</xdr:rowOff>
        </xdr:from>
        <xdr:to>
          <xdr:col>9</xdr:col>
          <xdr:colOff>685800</xdr:colOff>
          <xdr:row>2</xdr:row>
          <xdr:rowOff>180975</xdr:rowOff>
        </xdr:to>
        <xdr:sp macro="" textlink="">
          <xdr:nvSpPr>
            <xdr:cNvPr id="6158" name="Button 14" hidden="1">
              <a:extLst>
                <a:ext uri="{63B3BB69-23CF-44E3-9099-C40C66FF867C}">
                  <a14:compatExt spid="_x0000_s6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312419</xdr:colOff>
      <xdr:row>0</xdr:row>
      <xdr:rowOff>30480</xdr:rowOff>
    </xdr:from>
    <xdr:to>
      <xdr:col>7</xdr:col>
      <xdr:colOff>854154</xdr:colOff>
      <xdr:row>5</xdr:row>
      <xdr:rowOff>147477</xdr:rowOff>
    </xdr:to>
    <xdr:pic>
      <xdr:nvPicPr>
        <xdr:cNvPr id="16" name="Grafik 15" descr="Kurt Motz_Logo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1519" y="30480"/>
          <a:ext cx="1760935" cy="11837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4</xdr:col>
          <xdr:colOff>1190625</xdr:colOff>
          <xdr:row>31</xdr:row>
          <xdr:rowOff>190500</xdr:rowOff>
        </xdr:to>
        <xdr:sp macro="" textlink="">
          <xdr:nvSpPr>
            <xdr:cNvPr id="6159" name="ComboBox1" hidden="1">
              <a:extLst>
                <a:ext uri="{63B3BB69-23CF-44E3-9099-C40C66FF867C}">
                  <a14:compatExt spid="_x0000_s6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9525</xdr:rowOff>
        </xdr:from>
        <xdr:to>
          <xdr:col>7</xdr:col>
          <xdr:colOff>876300</xdr:colOff>
          <xdr:row>31</xdr:row>
          <xdr:rowOff>200025</xdr:rowOff>
        </xdr:to>
        <xdr:sp macro="" textlink="">
          <xdr:nvSpPr>
            <xdr:cNvPr id="6160" name="ComboBox2" hidden="1">
              <a:extLst>
                <a:ext uri="{63B3BB69-23CF-44E3-9099-C40C66FF867C}">
                  <a14:compatExt spid="_x0000_s6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4</xdr:col>
          <xdr:colOff>1190625</xdr:colOff>
          <xdr:row>32</xdr:row>
          <xdr:rowOff>190500</xdr:rowOff>
        </xdr:to>
        <xdr:sp macro="" textlink="">
          <xdr:nvSpPr>
            <xdr:cNvPr id="6161" name="ComboBox3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9525</xdr:rowOff>
        </xdr:from>
        <xdr:to>
          <xdr:col>7</xdr:col>
          <xdr:colOff>876300</xdr:colOff>
          <xdr:row>32</xdr:row>
          <xdr:rowOff>190500</xdr:rowOff>
        </xdr:to>
        <xdr:sp macro="" textlink="">
          <xdr:nvSpPr>
            <xdr:cNvPr id="6162" name="ComboBox4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4</xdr:col>
          <xdr:colOff>1190625</xdr:colOff>
          <xdr:row>33</xdr:row>
          <xdr:rowOff>190500</xdr:rowOff>
        </xdr:to>
        <xdr:sp macro="" textlink="">
          <xdr:nvSpPr>
            <xdr:cNvPr id="6163" name="ComboBox6" hidden="1">
              <a:extLst>
                <a:ext uri="{63B3BB69-23CF-44E3-9099-C40C66FF867C}">
                  <a14:compatExt spid="_x0000_s6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9525</xdr:rowOff>
        </xdr:from>
        <xdr:to>
          <xdr:col>7</xdr:col>
          <xdr:colOff>876300</xdr:colOff>
          <xdr:row>33</xdr:row>
          <xdr:rowOff>190500</xdr:rowOff>
        </xdr:to>
        <xdr:sp macro="" textlink="">
          <xdr:nvSpPr>
            <xdr:cNvPr id="6164" name="ComboBox5" hidden="1">
              <a:extLst>
                <a:ext uri="{63B3BB69-23CF-44E3-9099-C40C66FF867C}">
                  <a14:compatExt spid="_x0000_s6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9525</xdr:rowOff>
        </xdr:from>
        <xdr:to>
          <xdr:col>4</xdr:col>
          <xdr:colOff>1190625</xdr:colOff>
          <xdr:row>34</xdr:row>
          <xdr:rowOff>190500</xdr:rowOff>
        </xdr:to>
        <xdr:sp macro="" textlink="">
          <xdr:nvSpPr>
            <xdr:cNvPr id="6165" name="ComboBox7" hidden="1">
              <a:extLst>
                <a:ext uri="{63B3BB69-23CF-44E3-9099-C40C66FF867C}">
                  <a14:compatExt spid="_x0000_s6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9525</xdr:rowOff>
        </xdr:from>
        <xdr:to>
          <xdr:col>7</xdr:col>
          <xdr:colOff>876300</xdr:colOff>
          <xdr:row>34</xdr:row>
          <xdr:rowOff>190500</xdr:rowOff>
        </xdr:to>
        <xdr:sp macro="" textlink="">
          <xdr:nvSpPr>
            <xdr:cNvPr id="6166" name="ComboBox8" hidden="1">
              <a:extLst>
                <a:ext uri="{63B3BB69-23CF-44E3-9099-C40C66FF867C}">
                  <a14:compatExt spid="_x0000_s6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0</xdr:row>
          <xdr:rowOff>28575</xdr:rowOff>
        </xdr:from>
        <xdr:to>
          <xdr:col>9</xdr:col>
          <xdr:colOff>685800</xdr:colOff>
          <xdr:row>2</xdr:row>
          <xdr:rowOff>180975</xdr:rowOff>
        </xdr:to>
        <xdr:sp macro="" textlink="">
          <xdr:nvSpPr>
            <xdr:cNvPr id="7182" name="Button 14" hidden="1">
              <a:extLst>
                <a:ext uri="{63B3BB69-23CF-44E3-9099-C40C66FF867C}">
                  <a14:compatExt spid="_x0000_s7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312419</xdr:colOff>
      <xdr:row>0</xdr:row>
      <xdr:rowOff>30480</xdr:rowOff>
    </xdr:from>
    <xdr:to>
      <xdr:col>7</xdr:col>
      <xdr:colOff>854154</xdr:colOff>
      <xdr:row>5</xdr:row>
      <xdr:rowOff>147477</xdr:rowOff>
    </xdr:to>
    <xdr:pic>
      <xdr:nvPicPr>
        <xdr:cNvPr id="16" name="Grafik 15" descr="Kurt Motz_Logo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1519" y="30480"/>
          <a:ext cx="1760935" cy="11837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4</xdr:col>
          <xdr:colOff>1190625</xdr:colOff>
          <xdr:row>31</xdr:row>
          <xdr:rowOff>190500</xdr:rowOff>
        </xdr:to>
        <xdr:sp macro="" textlink="">
          <xdr:nvSpPr>
            <xdr:cNvPr id="7183" name="ComboBox1" hidden="1">
              <a:extLst>
                <a:ext uri="{63B3BB69-23CF-44E3-9099-C40C66FF867C}">
                  <a14:compatExt spid="_x0000_s7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9525</xdr:rowOff>
        </xdr:from>
        <xdr:to>
          <xdr:col>7</xdr:col>
          <xdr:colOff>876300</xdr:colOff>
          <xdr:row>31</xdr:row>
          <xdr:rowOff>200025</xdr:rowOff>
        </xdr:to>
        <xdr:sp macro="" textlink="">
          <xdr:nvSpPr>
            <xdr:cNvPr id="7184" name="ComboBox2" hidden="1">
              <a:extLst>
                <a:ext uri="{63B3BB69-23CF-44E3-9099-C40C66FF867C}">
                  <a14:compatExt spid="_x0000_s7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4</xdr:col>
          <xdr:colOff>1190625</xdr:colOff>
          <xdr:row>32</xdr:row>
          <xdr:rowOff>190500</xdr:rowOff>
        </xdr:to>
        <xdr:sp macro="" textlink="">
          <xdr:nvSpPr>
            <xdr:cNvPr id="7185" name="ComboBox3" hidden="1">
              <a:extLst>
                <a:ext uri="{63B3BB69-23CF-44E3-9099-C40C66FF867C}">
                  <a14:compatExt spid="_x0000_s7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9525</xdr:rowOff>
        </xdr:from>
        <xdr:to>
          <xdr:col>7</xdr:col>
          <xdr:colOff>876300</xdr:colOff>
          <xdr:row>32</xdr:row>
          <xdr:rowOff>190500</xdr:rowOff>
        </xdr:to>
        <xdr:sp macro="" textlink="">
          <xdr:nvSpPr>
            <xdr:cNvPr id="7186" name="ComboBox4" hidden="1">
              <a:extLst>
                <a:ext uri="{63B3BB69-23CF-44E3-9099-C40C66FF867C}">
                  <a14:compatExt spid="_x0000_s7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4</xdr:col>
          <xdr:colOff>1190625</xdr:colOff>
          <xdr:row>33</xdr:row>
          <xdr:rowOff>190500</xdr:rowOff>
        </xdr:to>
        <xdr:sp macro="" textlink="">
          <xdr:nvSpPr>
            <xdr:cNvPr id="7187" name="ComboBox6" hidden="1">
              <a:extLst>
                <a:ext uri="{63B3BB69-23CF-44E3-9099-C40C66FF867C}">
                  <a14:compatExt spid="_x0000_s7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9525</xdr:rowOff>
        </xdr:from>
        <xdr:to>
          <xdr:col>7</xdr:col>
          <xdr:colOff>876300</xdr:colOff>
          <xdr:row>33</xdr:row>
          <xdr:rowOff>190500</xdr:rowOff>
        </xdr:to>
        <xdr:sp macro="" textlink="">
          <xdr:nvSpPr>
            <xdr:cNvPr id="7188" name="ComboBox5" hidden="1">
              <a:extLst>
                <a:ext uri="{63B3BB69-23CF-44E3-9099-C40C66FF867C}">
                  <a14:compatExt spid="_x0000_s7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9525</xdr:rowOff>
        </xdr:from>
        <xdr:to>
          <xdr:col>4</xdr:col>
          <xdr:colOff>1190625</xdr:colOff>
          <xdr:row>34</xdr:row>
          <xdr:rowOff>190500</xdr:rowOff>
        </xdr:to>
        <xdr:sp macro="" textlink="">
          <xdr:nvSpPr>
            <xdr:cNvPr id="7189" name="ComboBox7" hidden="1">
              <a:extLst>
                <a:ext uri="{63B3BB69-23CF-44E3-9099-C40C66FF867C}">
                  <a14:compatExt spid="_x0000_s7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9525</xdr:rowOff>
        </xdr:from>
        <xdr:to>
          <xdr:col>7</xdr:col>
          <xdr:colOff>876300</xdr:colOff>
          <xdr:row>34</xdr:row>
          <xdr:rowOff>190500</xdr:rowOff>
        </xdr:to>
        <xdr:sp macro="" textlink="">
          <xdr:nvSpPr>
            <xdr:cNvPr id="7190" name="ComboBox8" hidden="1">
              <a:extLst>
                <a:ext uri="{63B3BB69-23CF-44E3-9099-C40C66FF867C}">
                  <a14:compatExt spid="_x0000_s7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0</xdr:row>
          <xdr:rowOff>28575</xdr:rowOff>
        </xdr:from>
        <xdr:to>
          <xdr:col>9</xdr:col>
          <xdr:colOff>685800</xdr:colOff>
          <xdr:row>2</xdr:row>
          <xdr:rowOff>180975</xdr:rowOff>
        </xdr:to>
        <xdr:sp macro="" textlink="">
          <xdr:nvSpPr>
            <xdr:cNvPr id="8206" name="Button 14" hidden="1">
              <a:extLst>
                <a:ext uri="{63B3BB69-23CF-44E3-9099-C40C66FF867C}">
                  <a14:compatExt spid="_x0000_s8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312419</xdr:colOff>
      <xdr:row>0</xdr:row>
      <xdr:rowOff>30480</xdr:rowOff>
    </xdr:from>
    <xdr:to>
      <xdr:col>7</xdr:col>
      <xdr:colOff>854154</xdr:colOff>
      <xdr:row>5</xdr:row>
      <xdr:rowOff>147477</xdr:rowOff>
    </xdr:to>
    <xdr:pic>
      <xdr:nvPicPr>
        <xdr:cNvPr id="16" name="Grafik 15" descr="Kurt Motz_Logo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1519" y="30480"/>
          <a:ext cx="1760935" cy="11837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4</xdr:col>
          <xdr:colOff>1190625</xdr:colOff>
          <xdr:row>31</xdr:row>
          <xdr:rowOff>190500</xdr:rowOff>
        </xdr:to>
        <xdr:sp macro="" textlink="">
          <xdr:nvSpPr>
            <xdr:cNvPr id="8207" name="ComboBox1" hidden="1">
              <a:extLst>
                <a:ext uri="{63B3BB69-23CF-44E3-9099-C40C66FF867C}">
                  <a14:compatExt spid="_x0000_s8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9525</xdr:rowOff>
        </xdr:from>
        <xdr:to>
          <xdr:col>7</xdr:col>
          <xdr:colOff>876300</xdr:colOff>
          <xdr:row>31</xdr:row>
          <xdr:rowOff>200025</xdr:rowOff>
        </xdr:to>
        <xdr:sp macro="" textlink="">
          <xdr:nvSpPr>
            <xdr:cNvPr id="8208" name="ComboBox2" hidden="1">
              <a:extLst>
                <a:ext uri="{63B3BB69-23CF-44E3-9099-C40C66FF867C}">
                  <a14:compatExt spid="_x0000_s8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4</xdr:col>
          <xdr:colOff>1190625</xdr:colOff>
          <xdr:row>32</xdr:row>
          <xdr:rowOff>190500</xdr:rowOff>
        </xdr:to>
        <xdr:sp macro="" textlink="">
          <xdr:nvSpPr>
            <xdr:cNvPr id="8209" name="ComboBox3" hidden="1">
              <a:extLst>
                <a:ext uri="{63B3BB69-23CF-44E3-9099-C40C66FF867C}">
                  <a14:compatExt spid="_x0000_s8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9525</xdr:rowOff>
        </xdr:from>
        <xdr:to>
          <xdr:col>7</xdr:col>
          <xdr:colOff>876300</xdr:colOff>
          <xdr:row>32</xdr:row>
          <xdr:rowOff>190500</xdr:rowOff>
        </xdr:to>
        <xdr:sp macro="" textlink="">
          <xdr:nvSpPr>
            <xdr:cNvPr id="8210" name="ComboBox4" hidden="1">
              <a:extLst>
                <a:ext uri="{63B3BB69-23CF-44E3-9099-C40C66FF867C}">
                  <a14:compatExt spid="_x0000_s8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4</xdr:col>
          <xdr:colOff>1190625</xdr:colOff>
          <xdr:row>33</xdr:row>
          <xdr:rowOff>190500</xdr:rowOff>
        </xdr:to>
        <xdr:sp macro="" textlink="">
          <xdr:nvSpPr>
            <xdr:cNvPr id="8211" name="ComboBox6" hidden="1">
              <a:extLst>
                <a:ext uri="{63B3BB69-23CF-44E3-9099-C40C66FF867C}">
                  <a14:compatExt spid="_x0000_s8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9525</xdr:rowOff>
        </xdr:from>
        <xdr:to>
          <xdr:col>7</xdr:col>
          <xdr:colOff>876300</xdr:colOff>
          <xdr:row>33</xdr:row>
          <xdr:rowOff>190500</xdr:rowOff>
        </xdr:to>
        <xdr:sp macro="" textlink="">
          <xdr:nvSpPr>
            <xdr:cNvPr id="8212" name="ComboBox5" hidden="1">
              <a:extLst>
                <a:ext uri="{63B3BB69-23CF-44E3-9099-C40C66FF867C}">
                  <a14:compatExt spid="_x0000_s8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9525</xdr:rowOff>
        </xdr:from>
        <xdr:to>
          <xdr:col>4</xdr:col>
          <xdr:colOff>1190625</xdr:colOff>
          <xdr:row>34</xdr:row>
          <xdr:rowOff>190500</xdr:rowOff>
        </xdr:to>
        <xdr:sp macro="" textlink="">
          <xdr:nvSpPr>
            <xdr:cNvPr id="8213" name="ComboBox7" hidden="1">
              <a:extLst>
                <a:ext uri="{63B3BB69-23CF-44E3-9099-C40C66FF867C}">
                  <a14:compatExt spid="_x0000_s8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9525</xdr:rowOff>
        </xdr:from>
        <xdr:to>
          <xdr:col>7</xdr:col>
          <xdr:colOff>876300</xdr:colOff>
          <xdr:row>34</xdr:row>
          <xdr:rowOff>190500</xdr:rowOff>
        </xdr:to>
        <xdr:sp macro="" textlink="">
          <xdr:nvSpPr>
            <xdr:cNvPr id="8214" name="ComboBox8" hidden="1">
              <a:extLst>
                <a:ext uri="{63B3BB69-23CF-44E3-9099-C40C66FF867C}">
                  <a14:compatExt spid="_x0000_s8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0</xdr:row>
          <xdr:rowOff>28575</xdr:rowOff>
        </xdr:from>
        <xdr:to>
          <xdr:col>9</xdr:col>
          <xdr:colOff>685800</xdr:colOff>
          <xdr:row>2</xdr:row>
          <xdr:rowOff>180975</xdr:rowOff>
        </xdr:to>
        <xdr:sp macro="" textlink="">
          <xdr:nvSpPr>
            <xdr:cNvPr id="9230" name="Button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32004" rIns="82296" bIns="0" anchor="t" upright="1"/>
            <a:lstStyle/>
            <a:p>
              <a:pPr algn="ctr" rtl="0">
                <a:defRPr sz="1000"/>
              </a:pPr>
              <a:r>
                <a:rPr lang="de-DE" sz="1800" b="0" i="0" u="none" strike="noStrike" baseline="0">
                  <a:solidFill>
                    <a:srgbClr val="000000"/>
                  </a:solidFill>
                  <a:latin typeface="Wingdings"/>
                </a:rPr>
                <a:t>&lt;</a:t>
              </a:r>
            </a:p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PDF</a:t>
              </a:r>
            </a:p>
          </xdr:txBody>
        </xdr:sp>
        <xdr:clientData fPrintsWithSheet="0"/>
      </xdr:twoCellAnchor>
    </mc:Choice>
    <mc:Fallback/>
  </mc:AlternateContent>
  <xdr:twoCellAnchor>
    <xdr:from>
      <xdr:col>6</xdr:col>
      <xdr:colOff>312419</xdr:colOff>
      <xdr:row>0</xdr:row>
      <xdr:rowOff>30480</xdr:rowOff>
    </xdr:from>
    <xdr:to>
      <xdr:col>7</xdr:col>
      <xdr:colOff>854154</xdr:colOff>
      <xdr:row>5</xdr:row>
      <xdr:rowOff>147477</xdr:rowOff>
    </xdr:to>
    <xdr:pic>
      <xdr:nvPicPr>
        <xdr:cNvPr id="16" name="Grafik 15" descr="Kurt Motz_Logo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41519" y="30480"/>
          <a:ext cx="1760935" cy="118379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31</xdr:row>
          <xdr:rowOff>9525</xdr:rowOff>
        </xdr:from>
        <xdr:to>
          <xdr:col>4</xdr:col>
          <xdr:colOff>1190625</xdr:colOff>
          <xdr:row>31</xdr:row>
          <xdr:rowOff>190500</xdr:rowOff>
        </xdr:to>
        <xdr:sp macro="" textlink="">
          <xdr:nvSpPr>
            <xdr:cNvPr id="9231" name="ComboBox1" hidden="1">
              <a:extLst>
                <a:ext uri="{63B3BB69-23CF-44E3-9099-C40C66FF867C}">
                  <a14:compatExt spid="_x0000_s9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9525</xdr:rowOff>
        </xdr:from>
        <xdr:to>
          <xdr:col>7</xdr:col>
          <xdr:colOff>876300</xdr:colOff>
          <xdr:row>31</xdr:row>
          <xdr:rowOff>200025</xdr:rowOff>
        </xdr:to>
        <xdr:sp macro="" textlink="">
          <xdr:nvSpPr>
            <xdr:cNvPr id="9232" name="ComboBox2" hidden="1">
              <a:extLst>
                <a:ext uri="{63B3BB69-23CF-44E3-9099-C40C66FF867C}">
                  <a14:compatExt spid="_x0000_s9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32</xdr:row>
          <xdr:rowOff>9525</xdr:rowOff>
        </xdr:from>
        <xdr:to>
          <xdr:col>4</xdr:col>
          <xdr:colOff>1190625</xdr:colOff>
          <xdr:row>32</xdr:row>
          <xdr:rowOff>190500</xdr:rowOff>
        </xdr:to>
        <xdr:sp macro="" textlink="">
          <xdr:nvSpPr>
            <xdr:cNvPr id="9233" name="ComboBox3" hidden="1">
              <a:extLst>
                <a:ext uri="{63B3BB69-23CF-44E3-9099-C40C66FF867C}">
                  <a14:compatExt spid="_x0000_s9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32</xdr:row>
          <xdr:rowOff>9525</xdr:rowOff>
        </xdr:from>
        <xdr:to>
          <xdr:col>7</xdr:col>
          <xdr:colOff>876300</xdr:colOff>
          <xdr:row>32</xdr:row>
          <xdr:rowOff>190500</xdr:rowOff>
        </xdr:to>
        <xdr:sp macro="" textlink="">
          <xdr:nvSpPr>
            <xdr:cNvPr id="9234" name="ComboBox4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33</xdr:row>
          <xdr:rowOff>9525</xdr:rowOff>
        </xdr:from>
        <xdr:to>
          <xdr:col>4</xdr:col>
          <xdr:colOff>1190625</xdr:colOff>
          <xdr:row>33</xdr:row>
          <xdr:rowOff>190500</xdr:rowOff>
        </xdr:to>
        <xdr:sp macro="" textlink="">
          <xdr:nvSpPr>
            <xdr:cNvPr id="9235" name="ComboBox6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33</xdr:row>
          <xdr:rowOff>9525</xdr:rowOff>
        </xdr:from>
        <xdr:to>
          <xdr:col>7</xdr:col>
          <xdr:colOff>876300</xdr:colOff>
          <xdr:row>33</xdr:row>
          <xdr:rowOff>190500</xdr:rowOff>
        </xdr:to>
        <xdr:sp macro="" textlink="">
          <xdr:nvSpPr>
            <xdr:cNvPr id="9236" name="ComboBox5" hidden="1">
              <a:extLst>
                <a:ext uri="{63B3BB69-23CF-44E3-9099-C40C66FF867C}">
                  <a14:compatExt spid="_x0000_s9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34</xdr:row>
          <xdr:rowOff>9525</xdr:rowOff>
        </xdr:from>
        <xdr:to>
          <xdr:col>4</xdr:col>
          <xdr:colOff>1190625</xdr:colOff>
          <xdr:row>34</xdr:row>
          <xdr:rowOff>190500</xdr:rowOff>
        </xdr:to>
        <xdr:sp macro="" textlink="">
          <xdr:nvSpPr>
            <xdr:cNvPr id="9237" name="ComboBox7" hidden="1">
              <a:extLst>
                <a:ext uri="{63B3BB69-23CF-44E3-9099-C40C66FF867C}">
                  <a14:compatExt spid="_x0000_s9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34</xdr:row>
          <xdr:rowOff>9525</xdr:rowOff>
        </xdr:from>
        <xdr:to>
          <xdr:col>7</xdr:col>
          <xdr:colOff>876300</xdr:colOff>
          <xdr:row>34</xdr:row>
          <xdr:rowOff>190500</xdr:rowOff>
        </xdr:to>
        <xdr:sp macro="" textlink="">
          <xdr:nvSpPr>
            <xdr:cNvPr id="9238" name="ComboBox8" hidden="1">
              <a:extLst>
                <a:ext uri="{63B3BB69-23CF-44E3-9099-C40C66FF867C}">
                  <a14:compatExt spid="_x0000_s9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2.xml"/><Relationship Id="rId10" Type="http://schemas.openxmlformats.org/officeDocument/2006/relationships/image" Target="../media/image2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control" Target="../activeX/activeX1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12" Type="http://schemas.openxmlformats.org/officeDocument/2006/relationships/control" Target="../activeX/activeX1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control" Target="../activeX/activeX14.xml"/><Relationship Id="rId5" Type="http://schemas.openxmlformats.org/officeDocument/2006/relationships/image" Target="../media/image1.emf"/><Relationship Id="rId10" Type="http://schemas.openxmlformats.org/officeDocument/2006/relationships/control" Target="../activeX/activeX13.xml"/><Relationship Id="rId4" Type="http://schemas.openxmlformats.org/officeDocument/2006/relationships/control" Target="../activeX/activeX9.xml"/><Relationship Id="rId9" Type="http://schemas.openxmlformats.org/officeDocument/2006/relationships/control" Target="../activeX/activeX12.xml"/><Relationship Id="rId1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9.xml"/><Relationship Id="rId13" Type="http://schemas.openxmlformats.org/officeDocument/2006/relationships/control" Target="../activeX/activeX24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12" Type="http://schemas.openxmlformats.org/officeDocument/2006/relationships/control" Target="../activeX/activeX2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8.xml"/><Relationship Id="rId11" Type="http://schemas.openxmlformats.org/officeDocument/2006/relationships/control" Target="../activeX/activeX22.xml"/><Relationship Id="rId5" Type="http://schemas.openxmlformats.org/officeDocument/2006/relationships/image" Target="../media/image1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7.xml"/><Relationship Id="rId9" Type="http://schemas.openxmlformats.org/officeDocument/2006/relationships/control" Target="../activeX/activeX20.xml"/><Relationship Id="rId1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7.xml"/><Relationship Id="rId13" Type="http://schemas.openxmlformats.org/officeDocument/2006/relationships/control" Target="../activeX/activeX32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12" Type="http://schemas.openxmlformats.org/officeDocument/2006/relationships/control" Target="../activeX/activeX3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6.xml"/><Relationship Id="rId11" Type="http://schemas.openxmlformats.org/officeDocument/2006/relationships/control" Target="../activeX/activeX30.xml"/><Relationship Id="rId5" Type="http://schemas.openxmlformats.org/officeDocument/2006/relationships/image" Target="../media/image1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5.xml"/><Relationship Id="rId9" Type="http://schemas.openxmlformats.org/officeDocument/2006/relationships/control" Target="../activeX/activeX28.xml"/><Relationship Id="rId1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5.xml"/><Relationship Id="rId13" Type="http://schemas.openxmlformats.org/officeDocument/2006/relationships/control" Target="../activeX/activeX40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.emf"/><Relationship Id="rId12" Type="http://schemas.openxmlformats.org/officeDocument/2006/relationships/control" Target="../activeX/activeX3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34.xml"/><Relationship Id="rId11" Type="http://schemas.openxmlformats.org/officeDocument/2006/relationships/control" Target="../activeX/activeX38.xml"/><Relationship Id="rId5" Type="http://schemas.openxmlformats.org/officeDocument/2006/relationships/image" Target="../media/image1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3.xml"/><Relationship Id="rId9" Type="http://schemas.openxmlformats.org/officeDocument/2006/relationships/control" Target="../activeX/activeX36.xml"/><Relationship Id="rId14" Type="http://schemas.openxmlformats.org/officeDocument/2006/relationships/ctrlProp" Target="../ctrlProps/ctrlProp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control" Target="../activeX/activeX48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.emf"/><Relationship Id="rId12" Type="http://schemas.openxmlformats.org/officeDocument/2006/relationships/control" Target="../activeX/activeX47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42.xml"/><Relationship Id="rId11" Type="http://schemas.openxmlformats.org/officeDocument/2006/relationships/control" Target="../activeX/activeX46.xml"/><Relationship Id="rId5" Type="http://schemas.openxmlformats.org/officeDocument/2006/relationships/image" Target="../media/image1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1.xml"/><Relationship Id="rId9" Type="http://schemas.openxmlformats.org/officeDocument/2006/relationships/control" Target="../activeX/activeX44.xml"/><Relationship Id="rId14" Type="http://schemas.openxmlformats.org/officeDocument/2006/relationships/ctrlProp" Target="../ctrlProps/ctrlProp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H47"/>
  <sheetViews>
    <sheetView tabSelected="1" showWhiteSpace="0" view="pageLayout" zoomScale="115" zoomScaleNormal="100" zoomScalePageLayoutView="115" workbookViewId="0">
      <selection activeCell="C4" sqref="C4:D4"/>
    </sheetView>
  </sheetViews>
  <sheetFormatPr baseColWidth="10" defaultColWidth="11.42578125" defaultRowHeight="12.75" x14ac:dyDescent="0.2"/>
  <cols>
    <col min="1" max="1" width="3.85546875" style="1" customWidth="1"/>
    <col min="2" max="2" width="12.42578125" style="1" customWidth="1"/>
    <col min="3" max="3" width="9.85546875" style="1" customWidth="1"/>
    <col min="4" max="4" width="7.5703125" style="1" customWidth="1"/>
    <col min="5" max="5" width="17.42578125" style="1" customWidth="1"/>
    <col min="6" max="6" width="9.42578125" style="1" customWidth="1"/>
    <col min="7" max="7" width="17.42578125" style="1" bestFit="1" customWidth="1"/>
    <col min="8" max="8" width="12.5703125" style="1" customWidth="1"/>
    <col min="9" max="16384" width="11.42578125" style="1"/>
  </cols>
  <sheetData>
    <row r="1" spans="1:8" ht="18.399999999999999" customHeight="1" x14ac:dyDescent="0.2">
      <c r="A1" s="120" t="s">
        <v>242</v>
      </c>
      <c r="B1" s="120"/>
      <c r="C1" s="120"/>
      <c r="D1" s="121"/>
      <c r="E1" s="121"/>
      <c r="F1" s="121"/>
      <c r="G1" s="82"/>
      <c r="H1" s="82"/>
    </row>
    <row r="2" spans="1:8" ht="16.7" customHeight="1" x14ac:dyDescent="0.2">
      <c r="A2" s="122" t="s">
        <v>243</v>
      </c>
      <c r="B2" s="122"/>
      <c r="C2" s="123"/>
      <c r="D2" s="123"/>
      <c r="E2" s="123"/>
      <c r="F2" s="123"/>
      <c r="G2" s="82"/>
      <c r="H2" s="82"/>
    </row>
    <row r="3" spans="1:8" ht="16.7" customHeight="1" x14ac:dyDescent="0.2">
      <c r="A3" s="122" t="s">
        <v>1</v>
      </c>
      <c r="B3" s="122"/>
      <c r="C3" s="123"/>
      <c r="D3" s="123"/>
      <c r="E3" s="123"/>
      <c r="F3" s="123"/>
      <c r="G3" s="82"/>
      <c r="H3" s="82"/>
    </row>
    <row r="4" spans="1:8" ht="16.7" customHeight="1" x14ac:dyDescent="0.2">
      <c r="A4" s="122" t="s">
        <v>244</v>
      </c>
      <c r="B4" s="122"/>
      <c r="C4" s="181"/>
      <c r="D4" s="181"/>
      <c r="E4" s="109" t="s">
        <v>271</v>
      </c>
      <c r="F4" s="110">
        <f>WEEKNUM(C4,21)</f>
        <v>52</v>
      </c>
      <c r="G4" s="82"/>
      <c r="H4" s="82"/>
    </row>
    <row r="5" spans="1:8" ht="16.7" customHeight="1" x14ac:dyDescent="0.2">
      <c r="A5" s="122" t="s">
        <v>245</v>
      </c>
      <c r="B5" s="122"/>
      <c r="C5" s="94"/>
      <c r="D5" s="83" t="s">
        <v>246</v>
      </c>
      <c r="E5" s="94"/>
      <c r="F5" s="84"/>
      <c r="G5" s="82"/>
      <c r="H5" s="82"/>
    </row>
    <row r="6" spans="1:8" ht="16.7" customHeight="1" x14ac:dyDescent="0.2">
      <c r="A6" s="122" t="s">
        <v>247</v>
      </c>
      <c r="B6" s="122"/>
      <c r="C6" s="123" t="s">
        <v>272</v>
      </c>
      <c r="D6" s="123"/>
      <c r="E6" s="123"/>
      <c r="F6" s="123"/>
      <c r="G6" s="82"/>
      <c r="H6" s="82"/>
    </row>
    <row r="7" spans="1:8" ht="6.95" customHeight="1" thickBot="1" x14ac:dyDescent="0.25">
      <c r="A7" s="85"/>
      <c r="B7" s="85"/>
      <c r="C7" s="85"/>
      <c r="D7" s="85"/>
      <c r="E7" s="86"/>
      <c r="F7" s="87"/>
      <c r="G7" s="82"/>
      <c r="H7" s="82"/>
    </row>
    <row r="8" spans="1:8" ht="16.7" customHeight="1" x14ac:dyDescent="0.2">
      <c r="A8" s="124" t="s">
        <v>248</v>
      </c>
      <c r="B8" s="126"/>
      <c r="C8" s="127"/>
      <c r="D8" s="127"/>
      <c r="E8" s="128"/>
      <c r="F8" s="129" t="s">
        <v>249</v>
      </c>
      <c r="G8" s="101" t="s">
        <v>250</v>
      </c>
      <c r="H8" s="105">
        <v>0</v>
      </c>
    </row>
    <row r="9" spans="1:8" ht="16.7" customHeight="1" thickBot="1" x14ac:dyDescent="0.25">
      <c r="A9" s="125"/>
      <c r="B9" s="131"/>
      <c r="C9" s="132"/>
      <c r="D9" s="132"/>
      <c r="E9" s="133"/>
      <c r="F9" s="130"/>
      <c r="G9" s="102" t="s">
        <v>251</v>
      </c>
      <c r="H9" s="106">
        <v>0</v>
      </c>
    </row>
    <row r="10" spans="1:8" ht="16.7" customHeight="1" x14ac:dyDescent="0.2">
      <c r="A10" s="134" t="s">
        <v>267</v>
      </c>
      <c r="B10" s="103" t="s">
        <v>252</v>
      </c>
      <c r="C10" s="137" t="s">
        <v>253</v>
      </c>
      <c r="D10" s="138"/>
      <c r="E10" s="95" t="s">
        <v>254</v>
      </c>
      <c r="F10" s="88" t="s">
        <v>253</v>
      </c>
      <c r="G10" s="96" t="s">
        <v>254</v>
      </c>
      <c r="H10" s="88" t="s">
        <v>253</v>
      </c>
    </row>
    <row r="11" spans="1:8" ht="16.7" customHeight="1" x14ac:dyDescent="0.2">
      <c r="A11" s="135"/>
      <c r="B11" s="80" t="s">
        <v>255</v>
      </c>
      <c r="C11" s="115"/>
      <c r="D11" s="116"/>
      <c r="E11" s="168"/>
      <c r="F11" s="170"/>
      <c r="G11" s="168"/>
      <c r="H11" s="170"/>
    </row>
    <row r="12" spans="1:8" ht="16.7" customHeight="1" x14ac:dyDescent="0.2">
      <c r="A12" s="135"/>
      <c r="B12" s="80" t="s">
        <v>256</v>
      </c>
      <c r="C12" s="115"/>
      <c r="D12" s="116"/>
      <c r="E12" s="169"/>
      <c r="F12" s="171"/>
      <c r="G12" s="169"/>
      <c r="H12" s="171"/>
    </row>
    <row r="13" spans="1:8" ht="16.7" customHeight="1" x14ac:dyDescent="0.2">
      <c r="A13" s="135"/>
      <c r="B13" s="80" t="s">
        <v>241</v>
      </c>
      <c r="C13" s="115"/>
      <c r="D13" s="116"/>
      <c r="E13" s="168"/>
      <c r="F13" s="170"/>
      <c r="G13" s="168"/>
      <c r="H13" s="170"/>
    </row>
    <row r="14" spans="1:8" ht="16.7" customHeight="1" x14ac:dyDescent="0.2">
      <c r="A14" s="135"/>
      <c r="B14" s="111"/>
      <c r="C14" s="115"/>
      <c r="D14" s="116"/>
      <c r="E14" s="169"/>
      <c r="F14" s="171"/>
      <c r="G14" s="169"/>
      <c r="H14" s="171"/>
    </row>
    <row r="15" spans="1:8" ht="16.7" customHeight="1" thickBot="1" x14ac:dyDescent="0.25">
      <c r="A15" s="136"/>
      <c r="B15" s="104" t="s">
        <v>257</v>
      </c>
      <c r="C15" s="191">
        <f>SUM(C11:D14)</f>
        <v>0</v>
      </c>
      <c r="D15" s="192"/>
      <c r="E15" s="112"/>
      <c r="F15" s="113"/>
      <c r="G15" s="114"/>
      <c r="H15" s="113"/>
    </row>
    <row r="16" spans="1:8" ht="16.7" customHeight="1" x14ac:dyDescent="0.2">
      <c r="A16" s="124" t="s">
        <v>268</v>
      </c>
      <c r="B16" s="140" t="s">
        <v>258</v>
      </c>
      <c r="C16" s="140"/>
      <c r="D16" s="140"/>
      <c r="E16" s="140"/>
      <c r="F16" s="140"/>
      <c r="G16" s="140"/>
      <c r="H16" s="141"/>
    </row>
    <row r="17" spans="1:8" ht="16.7" customHeight="1" x14ac:dyDescent="0.2">
      <c r="A17" s="139"/>
      <c r="B17" s="142"/>
      <c r="C17" s="143"/>
      <c r="D17" s="143"/>
      <c r="E17" s="143"/>
      <c r="F17" s="143"/>
      <c r="G17" s="143"/>
      <c r="H17" s="144"/>
    </row>
    <row r="18" spans="1:8" ht="16.7" customHeight="1" x14ac:dyDescent="0.2">
      <c r="A18" s="139"/>
      <c r="B18" s="117"/>
      <c r="C18" s="145"/>
      <c r="D18" s="145"/>
      <c r="E18" s="145"/>
      <c r="F18" s="145"/>
      <c r="G18" s="145"/>
      <c r="H18" s="146"/>
    </row>
    <row r="19" spans="1:8" ht="16.7" customHeight="1" x14ac:dyDescent="0.2">
      <c r="A19" s="139"/>
      <c r="B19" s="117"/>
      <c r="C19" s="145"/>
      <c r="D19" s="145"/>
      <c r="E19" s="145"/>
      <c r="F19" s="145"/>
      <c r="G19" s="145"/>
      <c r="H19" s="146"/>
    </row>
    <row r="20" spans="1:8" ht="16.7" customHeight="1" x14ac:dyDescent="0.2">
      <c r="A20" s="139"/>
      <c r="B20" s="117"/>
      <c r="C20" s="145"/>
      <c r="D20" s="145"/>
      <c r="E20" s="145"/>
      <c r="F20" s="145"/>
      <c r="G20" s="145"/>
      <c r="H20" s="146"/>
    </row>
    <row r="21" spans="1:8" ht="16.7" customHeight="1" x14ac:dyDescent="0.2">
      <c r="A21" s="139"/>
      <c r="B21" s="117"/>
      <c r="C21" s="118"/>
      <c r="D21" s="118"/>
      <c r="E21" s="118"/>
      <c r="F21" s="118"/>
      <c r="G21" s="118"/>
      <c r="H21" s="119"/>
    </row>
    <row r="22" spans="1:8" ht="16.7" customHeight="1" x14ac:dyDescent="0.2">
      <c r="A22" s="139"/>
      <c r="B22" s="117"/>
      <c r="C22" s="118"/>
      <c r="D22" s="118"/>
      <c r="E22" s="118"/>
      <c r="F22" s="118"/>
      <c r="G22" s="118"/>
      <c r="H22" s="119"/>
    </row>
    <row r="23" spans="1:8" ht="16.7" customHeight="1" x14ac:dyDescent="0.2">
      <c r="A23" s="139"/>
      <c r="B23" s="117"/>
      <c r="C23" s="118"/>
      <c r="D23" s="118"/>
      <c r="E23" s="118"/>
      <c r="F23" s="118"/>
      <c r="G23" s="118"/>
      <c r="H23" s="119"/>
    </row>
    <row r="24" spans="1:8" ht="16.7" customHeight="1" x14ac:dyDescent="0.2">
      <c r="A24" s="139"/>
      <c r="B24" s="117"/>
      <c r="C24" s="118"/>
      <c r="D24" s="118"/>
      <c r="E24" s="118"/>
      <c r="F24" s="118"/>
      <c r="G24" s="118"/>
      <c r="H24" s="119"/>
    </row>
    <row r="25" spans="1:8" ht="16.7" customHeight="1" x14ac:dyDescent="0.2">
      <c r="A25" s="139"/>
      <c r="B25" s="117"/>
      <c r="C25" s="118"/>
      <c r="D25" s="118"/>
      <c r="E25" s="118"/>
      <c r="F25" s="118"/>
      <c r="G25" s="118"/>
      <c r="H25" s="119"/>
    </row>
    <row r="26" spans="1:8" ht="16.7" customHeight="1" x14ac:dyDescent="0.2">
      <c r="A26" s="139"/>
      <c r="B26" s="117"/>
      <c r="C26" s="118"/>
      <c r="D26" s="118"/>
      <c r="E26" s="118"/>
      <c r="F26" s="118"/>
      <c r="G26" s="118"/>
      <c r="H26" s="119"/>
    </row>
    <row r="27" spans="1:8" ht="16.7" customHeight="1" x14ac:dyDescent="0.2">
      <c r="A27" s="139"/>
      <c r="B27" s="117"/>
      <c r="C27" s="118"/>
      <c r="D27" s="118"/>
      <c r="E27" s="118"/>
      <c r="F27" s="118"/>
      <c r="G27" s="118"/>
      <c r="H27" s="119"/>
    </row>
    <row r="28" spans="1:8" ht="16.7" customHeight="1" x14ac:dyDescent="0.2">
      <c r="A28" s="139"/>
      <c r="B28" s="117"/>
      <c r="C28" s="118"/>
      <c r="D28" s="118"/>
      <c r="E28" s="118"/>
      <c r="F28" s="118"/>
      <c r="G28" s="118"/>
      <c r="H28" s="119"/>
    </row>
    <row r="29" spans="1:8" ht="16.7" customHeight="1" x14ac:dyDescent="0.2">
      <c r="A29" s="139"/>
      <c r="B29" s="117"/>
      <c r="C29" s="118"/>
      <c r="D29" s="118"/>
      <c r="E29" s="118"/>
      <c r="F29" s="118"/>
      <c r="G29" s="118"/>
      <c r="H29" s="119"/>
    </row>
    <row r="30" spans="1:8" ht="16.7" customHeight="1" thickBot="1" x14ac:dyDescent="0.25">
      <c r="A30" s="125"/>
      <c r="B30" s="165"/>
      <c r="C30" s="172"/>
      <c r="D30" s="172"/>
      <c r="E30" s="172"/>
      <c r="F30" s="172"/>
      <c r="G30" s="172"/>
      <c r="H30" s="173"/>
    </row>
    <row r="31" spans="1:8" ht="16.7" customHeight="1" x14ac:dyDescent="0.2">
      <c r="A31" s="174" t="s">
        <v>269</v>
      </c>
      <c r="B31" s="177" t="s">
        <v>259</v>
      </c>
      <c r="C31" s="178"/>
      <c r="D31" s="178"/>
      <c r="E31" s="179"/>
      <c r="F31" s="177" t="s">
        <v>259</v>
      </c>
      <c r="G31" s="178"/>
      <c r="H31" s="180"/>
    </row>
    <row r="32" spans="1:8" ht="16.7" customHeight="1" x14ac:dyDescent="0.2">
      <c r="A32" s="175"/>
      <c r="B32" s="158"/>
      <c r="C32" s="185"/>
      <c r="D32" s="185"/>
      <c r="E32" s="162"/>
      <c r="F32" s="186"/>
      <c r="G32" s="187"/>
      <c r="H32" s="188"/>
    </row>
    <row r="33" spans="1:8" ht="16.7" customHeight="1" x14ac:dyDescent="0.2">
      <c r="A33" s="175"/>
      <c r="B33" s="158"/>
      <c r="C33" s="185"/>
      <c r="D33" s="185"/>
      <c r="E33" s="162"/>
      <c r="F33" s="158"/>
      <c r="G33" s="159"/>
      <c r="H33" s="189"/>
    </row>
    <row r="34" spans="1:8" ht="16.7" customHeight="1" x14ac:dyDescent="0.2">
      <c r="A34" s="175"/>
      <c r="B34" s="158"/>
      <c r="C34" s="185"/>
      <c r="D34" s="185"/>
      <c r="E34" s="162"/>
      <c r="F34" s="158"/>
      <c r="G34" s="159"/>
      <c r="H34" s="189"/>
    </row>
    <row r="35" spans="1:8" ht="16.7" customHeight="1" thickBot="1" x14ac:dyDescent="0.25">
      <c r="A35" s="176"/>
      <c r="B35" s="161"/>
      <c r="C35" s="185"/>
      <c r="D35" s="185"/>
      <c r="E35" s="162"/>
      <c r="F35" s="161"/>
      <c r="G35" s="185"/>
      <c r="H35" s="190"/>
    </row>
    <row r="36" spans="1:8" ht="16.7" customHeight="1" x14ac:dyDescent="0.2">
      <c r="A36" s="150" t="s">
        <v>193</v>
      </c>
      <c r="B36" s="153" t="s">
        <v>260</v>
      </c>
      <c r="C36" s="154"/>
      <c r="D36" s="154"/>
      <c r="E36" s="155"/>
      <c r="F36" s="153" t="s">
        <v>261</v>
      </c>
      <c r="G36" s="155"/>
      <c r="H36" s="107" t="s">
        <v>0</v>
      </c>
    </row>
    <row r="37" spans="1:8" ht="16.7" customHeight="1" x14ac:dyDescent="0.2">
      <c r="A37" s="151"/>
      <c r="B37" s="156"/>
      <c r="C37" s="157"/>
      <c r="D37" s="157"/>
      <c r="E37" s="157"/>
      <c r="F37" s="157"/>
      <c r="G37" s="157"/>
      <c r="H37" s="98"/>
    </row>
    <row r="38" spans="1:8" ht="16.7" customHeight="1" x14ac:dyDescent="0.2">
      <c r="A38" s="151"/>
      <c r="B38" s="156"/>
      <c r="C38" s="157"/>
      <c r="D38" s="157"/>
      <c r="E38" s="157"/>
      <c r="F38" s="157"/>
      <c r="G38" s="157"/>
      <c r="H38" s="99"/>
    </row>
    <row r="39" spans="1:8" ht="16.7" customHeight="1" x14ac:dyDescent="0.2">
      <c r="A39" s="151"/>
      <c r="B39" s="158"/>
      <c r="C39" s="159"/>
      <c r="D39" s="159"/>
      <c r="E39" s="160"/>
      <c r="F39" s="161"/>
      <c r="G39" s="162"/>
      <c r="H39" s="99"/>
    </row>
    <row r="40" spans="1:8" ht="16.7" customHeight="1" thickBot="1" x14ac:dyDescent="0.25">
      <c r="A40" s="152"/>
      <c r="B40" s="163"/>
      <c r="C40" s="164"/>
      <c r="D40" s="164"/>
      <c r="E40" s="164"/>
      <c r="F40" s="164"/>
      <c r="G40" s="164"/>
      <c r="H40" s="100"/>
    </row>
    <row r="41" spans="1:8" ht="16.7" customHeight="1" x14ac:dyDescent="0.2">
      <c r="A41" s="134" t="s">
        <v>270</v>
      </c>
      <c r="B41" s="182"/>
      <c r="C41" s="183"/>
      <c r="D41" s="183"/>
      <c r="E41" s="183"/>
      <c r="F41" s="183"/>
      <c r="G41" s="183"/>
      <c r="H41" s="184"/>
    </row>
    <row r="42" spans="1:8" ht="16.7" customHeight="1" x14ac:dyDescent="0.2">
      <c r="A42" s="135"/>
      <c r="B42" s="117"/>
      <c r="C42" s="145"/>
      <c r="D42" s="145"/>
      <c r="E42" s="145"/>
      <c r="F42" s="145"/>
      <c r="G42" s="145"/>
      <c r="H42" s="146"/>
    </row>
    <row r="43" spans="1:8" ht="16.7" customHeight="1" x14ac:dyDescent="0.2">
      <c r="A43" s="135"/>
      <c r="B43" s="117"/>
      <c r="C43" s="145"/>
      <c r="D43" s="145"/>
      <c r="E43" s="145"/>
      <c r="F43" s="145"/>
      <c r="G43" s="145"/>
      <c r="H43" s="146"/>
    </row>
    <row r="44" spans="1:8" ht="16.7" customHeight="1" thickBot="1" x14ac:dyDescent="0.25">
      <c r="A44" s="136"/>
      <c r="B44" s="165"/>
      <c r="C44" s="166"/>
      <c r="D44" s="166"/>
      <c r="E44" s="166"/>
      <c r="F44" s="166"/>
      <c r="G44" s="166"/>
      <c r="H44" s="167"/>
    </row>
    <row r="45" spans="1:8" ht="24" customHeight="1" x14ac:dyDescent="0.2">
      <c r="A45" s="90"/>
      <c r="B45" s="91" t="s">
        <v>262</v>
      </c>
      <c r="C45" s="91"/>
      <c r="D45" s="90"/>
      <c r="E45" s="91"/>
      <c r="F45" s="91"/>
      <c r="G45" s="92"/>
      <c r="H45" s="92"/>
    </row>
    <row r="46" spans="1:8" ht="16.7" customHeight="1" x14ac:dyDescent="0.2">
      <c r="A46" s="92"/>
      <c r="B46" s="108" t="s">
        <v>263</v>
      </c>
      <c r="C46" s="147"/>
      <c r="D46" s="147"/>
      <c r="E46" s="90"/>
      <c r="F46" s="108" t="s">
        <v>264</v>
      </c>
      <c r="G46" s="148"/>
      <c r="H46" s="148"/>
    </row>
    <row r="47" spans="1:8" ht="16.7" customHeight="1" x14ac:dyDescent="0.2">
      <c r="A47" s="93"/>
      <c r="B47" s="93"/>
      <c r="C47" s="149" t="s">
        <v>265</v>
      </c>
      <c r="D47" s="149"/>
      <c r="E47" s="92"/>
      <c r="F47" s="92"/>
      <c r="G47" s="149" t="s">
        <v>266</v>
      </c>
      <c r="H47" s="149"/>
    </row>
  </sheetData>
  <sheetProtection algorithmName="SHA-512" hashValue="IWA0VKXh5u26vMbIPGgpEvws5bnZI8vlYyic9kHeoOAxMZ3yGXW5yveVnR5FXCegWRdSOsW0WoqkpkJM9oo2xg==" saltValue="6/0UFh7HHSUvtPZmpFdNxw==" spinCount="100000" sheet="1" objects="1" selectLockedCells="1"/>
  <mergeCells count="77">
    <mergeCell ref="H13:H14"/>
    <mergeCell ref="C4:D4"/>
    <mergeCell ref="B41:H41"/>
    <mergeCell ref="B42:H42"/>
    <mergeCell ref="B43:H43"/>
    <mergeCell ref="B32:E32"/>
    <mergeCell ref="F32:H32"/>
    <mergeCell ref="B33:E33"/>
    <mergeCell ref="F33:H33"/>
    <mergeCell ref="B34:E34"/>
    <mergeCell ref="B35:E35"/>
    <mergeCell ref="F35:H35"/>
    <mergeCell ref="F34:H34"/>
    <mergeCell ref="C12:D12"/>
    <mergeCell ref="C14:D14"/>
    <mergeCell ref="C15:D15"/>
    <mergeCell ref="B44:H44"/>
    <mergeCell ref="A3:B3"/>
    <mergeCell ref="A4:B4"/>
    <mergeCell ref="A5:B5"/>
    <mergeCell ref="C3:F3"/>
    <mergeCell ref="E11:E12"/>
    <mergeCell ref="F11:F12"/>
    <mergeCell ref="G11:G12"/>
    <mergeCell ref="H11:H12"/>
    <mergeCell ref="E13:E14"/>
    <mergeCell ref="F13:F14"/>
    <mergeCell ref="G13:G14"/>
    <mergeCell ref="B30:H30"/>
    <mergeCell ref="A31:A35"/>
    <mergeCell ref="B31:E31"/>
    <mergeCell ref="F31:H31"/>
    <mergeCell ref="C46:D46"/>
    <mergeCell ref="G46:H46"/>
    <mergeCell ref="C47:D47"/>
    <mergeCell ref="G47:H47"/>
    <mergeCell ref="A36:A40"/>
    <mergeCell ref="B36:E36"/>
    <mergeCell ref="F36:G36"/>
    <mergeCell ref="B37:E37"/>
    <mergeCell ref="F37:G37"/>
    <mergeCell ref="B38:E38"/>
    <mergeCell ref="F38:G38"/>
    <mergeCell ref="B39:E39"/>
    <mergeCell ref="F39:G39"/>
    <mergeCell ref="B40:E40"/>
    <mergeCell ref="F40:G40"/>
    <mergeCell ref="A41:A44"/>
    <mergeCell ref="A16:A30"/>
    <mergeCell ref="B16:H16"/>
    <mergeCell ref="B17:H17"/>
    <mergeCell ref="B18:H18"/>
    <mergeCell ref="B19:H19"/>
    <mergeCell ref="B20:H20"/>
    <mergeCell ref="B21:H21"/>
    <mergeCell ref="B24:H24"/>
    <mergeCell ref="B25:H25"/>
    <mergeCell ref="B26:H26"/>
    <mergeCell ref="B27:H27"/>
    <mergeCell ref="B28:H28"/>
    <mergeCell ref="B29:H29"/>
    <mergeCell ref="C13:D13"/>
    <mergeCell ref="B22:H22"/>
    <mergeCell ref="B23:H23"/>
    <mergeCell ref="A1:C1"/>
    <mergeCell ref="D1:F1"/>
    <mergeCell ref="A2:B2"/>
    <mergeCell ref="C2:F2"/>
    <mergeCell ref="A6:B6"/>
    <mergeCell ref="C6:F6"/>
    <mergeCell ref="A8:A9"/>
    <mergeCell ref="B8:E8"/>
    <mergeCell ref="F8:F9"/>
    <mergeCell ref="B9:E9"/>
    <mergeCell ref="A10:A15"/>
    <mergeCell ref="C10:D10"/>
    <mergeCell ref="C11:D11"/>
  </mergeCells>
  <phoneticPr fontId="20" type="noConversion"/>
  <pageMargins left="0.59055118110236227" right="0.47244094488188981" top="0.39370078740157483" bottom="0.39370078740157483" header="0.51181102362204722" footer="0.31496062992125984"/>
  <pageSetup paperSize="9" orientation="portrait" r:id="rId1"/>
  <headerFooter alignWithMargins="0">
    <oddFooter>&amp;RSeite &amp;P von &amp;N</oddFooter>
  </headerFooter>
  <drawing r:id="rId2"/>
  <legacyDrawing r:id="rId3"/>
  <controls>
    <mc:AlternateContent xmlns:mc="http://schemas.openxmlformats.org/markup-compatibility/2006">
      <mc:Choice Requires="x14">
        <control shapeId="1083" r:id="rId4" name="ComboBox8">
          <controlPr defaultSize="0" autoLine="0" listFillRange="Geräte_Maschienen!A1:A113" r:id="rId5">
            <anchor moveWithCells="1">
              <from>
                <xdr:col>5</xdr:col>
                <xdr:colOff>19050</xdr:colOff>
                <xdr:row>34</xdr:row>
                <xdr:rowOff>9525</xdr:rowOff>
              </from>
              <to>
                <xdr:col>7</xdr:col>
                <xdr:colOff>876300</xdr:colOff>
                <xdr:row>34</xdr:row>
                <xdr:rowOff>190500</xdr:rowOff>
              </to>
            </anchor>
          </controlPr>
        </control>
      </mc:Choice>
      <mc:Fallback>
        <control shapeId="1083" r:id="rId4" name="ComboBox8"/>
      </mc:Fallback>
    </mc:AlternateContent>
    <mc:AlternateContent xmlns:mc="http://schemas.openxmlformats.org/markup-compatibility/2006">
      <mc:Choice Requires="x14">
        <control shapeId="1082" r:id="rId6" name="ComboBox7">
          <controlPr defaultSize="0" autoLine="0" listFillRange="Geräte_Maschienen!A1:A113" r:id="rId5">
            <anchor moveWithCells="1">
              <from>
                <xdr:col>5</xdr:col>
                <xdr:colOff>19050</xdr:colOff>
                <xdr:row>33</xdr:row>
                <xdr:rowOff>9525</xdr:rowOff>
              </from>
              <to>
                <xdr:col>7</xdr:col>
                <xdr:colOff>876300</xdr:colOff>
                <xdr:row>33</xdr:row>
                <xdr:rowOff>190500</xdr:rowOff>
              </to>
            </anchor>
          </controlPr>
        </control>
      </mc:Choice>
      <mc:Fallback>
        <control shapeId="1082" r:id="rId6" name="ComboBox7"/>
      </mc:Fallback>
    </mc:AlternateContent>
    <mc:AlternateContent xmlns:mc="http://schemas.openxmlformats.org/markup-compatibility/2006">
      <mc:Choice Requires="x14">
        <control shapeId="1081" r:id="rId7" name="ComboBox6">
          <controlPr defaultSize="0" autoLine="0" listFillRange="Geräte_Maschienen!A1:A113" r:id="rId5">
            <anchor moveWithCells="1">
              <from>
                <xdr:col>5</xdr:col>
                <xdr:colOff>19050</xdr:colOff>
                <xdr:row>32</xdr:row>
                <xdr:rowOff>9525</xdr:rowOff>
              </from>
              <to>
                <xdr:col>7</xdr:col>
                <xdr:colOff>876300</xdr:colOff>
                <xdr:row>32</xdr:row>
                <xdr:rowOff>190500</xdr:rowOff>
              </to>
            </anchor>
          </controlPr>
        </control>
      </mc:Choice>
      <mc:Fallback>
        <control shapeId="1081" r:id="rId7" name="ComboBox6"/>
      </mc:Fallback>
    </mc:AlternateContent>
    <mc:AlternateContent xmlns:mc="http://schemas.openxmlformats.org/markup-compatibility/2006">
      <mc:Choice Requires="x14">
        <control shapeId="1080" r:id="rId8" name="ComboBox5">
          <controlPr defaultSize="0" autoLine="0" autoPict="0" listFillRange="Geräte_Maschienen!A1:A113" r:id="rId5">
            <anchor moveWithCells="1">
              <from>
                <xdr:col>5</xdr:col>
                <xdr:colOff>19050</xdr:colOff>
                <xdr:row>31</xdr:row>
                <xdr:rowOff>9525</xdr:rowOff>
              </from>
              <to>
                <xdr:col>7</xdr:col>
                <xdr:colOff>876300</xdr:colOff>
                <xdr:row>31</xdr:row>
                <xdr:rowOff>200025</xdr:rowOff>
              </to>
            </anchor>
          </controlPr>
        </control>
      </mc:Choice>
      <mc:Fallback>
        <control shapeId="1080" r:id="rId8" name="ComboBox5"/>
      </mc:Fallback>
    </mc:AlternateContent>
    <mc:AlternateContent xmlns:mc="http://schemas.openxmlformats.org/markup-compatibility/2006">
      <mc:Choice Requires="x14">
        <control shapeId="1079" r:id="rId9" name="ComboBox4">
          <controlPr defaultSize="0" autoLine="0" listFillRange="Geräte_Maschienen!A1:A113" r:id="rId10">
            <anchor moveWithCells="1">
              <from>
                <xdr:col>1</xdr:col>
                <xdr:colOff>19050</xdr:colOff>
                <xdr:row>34</xdr:row>
                <xdr:rowOff>9525</xdr:rowOff>
              </from>
              <to>
                <xdr:col>4</xdr:col>
                <xdr:colOff>1190625</xdr:colOff>
                <xdr:row>34</xdr:row>
                <xdr:rowOff>190500</xdr:rowOff>
              </to>
            </anchor>
          </controlPr>
        </control>
      </mc:Choice>
      <mc:Fallback>
        <control shapeId="1079" r:id="rId9" name="ComboBox4"/>
      </mc:Fallback>
    </mc:AlternateContent>
    <mc:AlternateContent xmlns:mc="http://schemas.openxmlformats.org/markup-compatibility/2006">
      <mc:Choice Requires="x14">
        <control shapeId="1078" r:id="rId11" name="ComboBox3">
          <controlPr defaultSize="0" autoLine="0" listFillRange="Geräte_Maschienen!A1:A113" r:id="rId10">
            <anchor moveWithCells="1">
              <from>
                <xdr:col>1</xdr:col>
                <xdr:colOff>19050</xdr:colOff>
                <xdr:row>33</xdr:row>
                <xdr:rowOff>9525</xdr:rowOff>
              </from>
              <to>
                <xdr:col>4</xdr:col>
                <xdr:colOff>1190625</xdr:colOff>
                <xdr:row>33</xdr:row>
                <xdr:rowOff>190500</xdr:rowOff>
              </to>
            </anchor>
          </controlPr>
        </control>
      </mc:Choice>
      <mc:Fallback>
        <control shapeId="1078" r:id="rId11" name="ComboBox3"/>
      </mc:Fallback>
    </mc:AlternateContent>
    <mc:AlternateContent xmlns:mc="http://schemas.openxmlformats.org/markup-compatibility/2006">
      <mc:Choice Requires="x14">
        <control shapeId="1077" r:id="rId12" name="ComboBox1">
          <controlPr defaultSize="0" autoLine="0" listFillRange="Geräte_Maschienen!A1:A113" r:id="rId10">
            <anchor moveWithCells="1">
              <from>
                <xdr:col>1</xdr:col>
                <xdr:colOff>19050</xdr:colOff>
                <xdr:row>32</xdr:row>
                <xdr:rowOff>9525</xdr:rowOff>
              </from>
              <to>
                <xdr:col>4</xdr:col>
                <xdr:colOff>1190625</xdr:colOff>
                <xdr:row>32</xdr:row>
                <xdr:rowOff>190500</xdr:rowOff>
              </to>
            </anchor>
          </controlPr>
        </control>
      </mc:Choice>
      <mc:Fallback>
        <control shapeId="1077" r:id="rId12" name="ComboBox1"/>
      </mc:Fallback>
    </mc:AlternateContent>
    <mc:AlternateContent xmlns:mc="http://schemas.openxmlformats.org/markup-compatibility/2006">
      <mc:Choice Requires="x14">
        <control shapeId="1075" r:id="rId13" name="ComboBox2">
          <controlPr defaultSize="0" autoLine="0" listFillRange="Geräte_Maschienen!A1:A113" r:id="rId10">
            <anchor moveWithCells="1">
              <from>
                <xdr:col>1</xdr:col>
                <xdr:colOff>19050</xdr:colOff>
                <xdr:row>31</xdr:row>
                <xdr:rowOff>9525</xdr:rowOff>
              </from>
              <to>
                <xdr:col>4</xdr:col>
                <xdr:colOff>1190625</xdr:colOff>
                <xdr:row>31</xdr:row>
                <xdr:rowOff>190500</xdr:rowOff>
              </to>
            </anchor>
          </controlPr>
        </control>
      </mc:Choice>
      <mc:Fallback>
        <control shapeId="1075" r:id="rId13" name="ComboBox2"/>
      </mc:Fallback>
    </mc:AlternateContent>
    <mc:AlternateContent xmlns:mc="http://schemas.openxmlformats.org/markup-compatibility/2006">
      <mc:Choice Requires="x14">
        <control shapeId="1072" r:id="rId14" name="Button 48">
          <controlPr defaultSize="0" print="0" autoFill="0" autoPict="0" macro="[0]!Modul1.Excel">
            <anchor moveWithCells="1" sizeWithCells="1">
              <from>
                <xdr:col>8</xdr:col>
                <xdr:colOff>76200</xdr:colOff>
                <xdr:row>0</xdr:row>
                <xdr:rowOff>28575</xdr:rowOff>
              </from>
              <to>
                <xdr:col>8</xdr:col>
                <xdr:colOff>771525</xdr:colOff>
                <xdr:row>2</xdr:row>
                <xdr:rowOff>180975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3" r:id="rId15" name="Button 49">
          <controlPr defaultSize="0" print="0" autoFill="0" autoPict="0" macro="[0]!PDF">
            <anchor moveWithCells="1" sizeWithCells="1">
              <from>
                <xdr:col>9</xdr:col>
                <xdr:colOff>9525</xdr:colOff>
                <xdr:row>0</xdr:row>
                <xdr:rowOff>28575</xdr:rowOff>
              </from>
              <to>
                <xdr:col>9</xdr:col>
                <xdr:colOff>685800</xdr:colOff>
                <xdr:row>2</xdr:row>
                <xdr:rowOff>180975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5"/>
  <dimension ref="A1:H47"/>
  <sheetViews>
    <sheetView showWhiteSpace="0" view="pageLayout" zoomScale="115" zoomScaleNormal="100" zoomScalePageLayoutView="115" workbookViewId="0">
      <selection activeCell="E5" sqref="E5"/>
    </sheetView>
  </sheetViews>
  <sheetFormatPr baseColWidth="10" defaultColWidth="11.42578125" defaultRowHeight="12.75" x14ac:dyDescent="0.2"/>
  <cols>
    <col min="1" max="1" width="3.85546875" style="1" customWidth="1"/>
    <col min="2" max="2" width="12.42578125" style="1" customWidth="1"/>
    <col min="3" max="3" width="9.85546875" style="1" customWidth="1"/>
    <col min="4" max="4" width="7.5703125" style="1" customWidth="1"/>
    <col min="5" max="5" width="17.42578125" style="1" customWidth="1"/>
    <col min="6" max="6" width="9.42578125" style="1" customWidth="1"/>
    <col min="7" max="7" width="17.42578125" style="1" bestFit="1" customWidth="1"/>
    <col min="8" max="8" width="12.5703125" style="1" customWidth="1"/>
    <col min="9" max="16384" width="11.42578125" style="1"/>
  </cols>
  <sheetData>
    <row r="1" spans="1:8" ht="18.399999999999999" customHeight="1" x14ac:dyDescent="0.2">
      <c r="A1" s="120" t="s">
        <v>242</v>
      </c>
      <c r="B1" s="120"/>
      <c r="C1" s="120"/>
      <c r="D1" s="120">
        <f>Montag!$D$1+1</f>
        <v>1</v>
      </c>
      <c r="E1" s="120"/>
      <c r="F1" s="120"/>
      <c r="G1" s="82"/>
      <c r="H1" s="82"/>
    </row>
    <row r="2" spans="1:8" ht="16.7" customHeight="1" x14ac:dyDescent="0.2">
      <c r="A2" s="122" t="s">
        <v>243</v>
      </c>
      <c r="B2" s="122"/>
      <c r="C2" s="193">
        <f>Montag!C2</f>
        <v>0</v>
      </c>
      <c r="D2" s="193"/>
      <c r="E2" s="193"/>
      <c r="F2" s="193"/>
      <c r="G2" s="82"/>
      <c r="H2" s="82"/>
    </row>
    <row r="3" spans="1:8" ht="16.7" customHeight="1" x14ac:dyDescent="0.2">
      <c r="A3" s="122" t="s">
        <v>1</v>
      </c>
      <c r="B3" s="122"/>
      <c r="C3" s="193">
        <f>Montag!C3</f>
        <v>0</v>
      </c>
      <c r="D3" s="193"/>
      <c r="E3" s="193"/>
      <c r="F3" s="193"/>
      <c r="G3" s="82"/>
      <c r="H3" s="82"/>
    </row>
    <row r="4" spans="1:8" ht="16.7" customHeight="1" x14ac:dyDescent="0.2">
      <c r="A4" s="122" t="s">
        <v>244</v>
      </c>
      <c r="B4" s="122"/>
      <c r="C4" s="194">
        <f>Montag!C4+1</f>
        <v>1</v>
      </c>
      <c r="D4" s="194"/>
      <c r="E4" s="109" t="s">
        <v>271</v>
      </c>
      <c r="F4" s="110">
        <f>WEEKNUM(C4,21)</f>
        <v>52</v>
      </c>
      <c r="G4" s="82"/>
      <c r="H4" s="82"/>
    </row>
    <row r="5" spans="1:8" ht="16.7" customHeight="1" x14ac:dyDescent="0.2">
      <c r="A5" s="122" t="s">
        <v>245</v>
      </c>
      <c r="B5" s="122"/>
      <c r="C5" s="94"/>
      <c r="D5" s="83" t="s">
        <v>246</v>
      </c>
      <c r="E5" s="94"/>
      <c r="F5" s="84"/>
      <c r="G5" s="82"/>
      <c r="H5" s="82"/>
    </row>
    <row r="6" spans="1:8" ht="16.7" customHeight="1" x14ac:dyDescent="0.2">
      <c r="A6" s="122" t="s">
        <v>247</v>
      </c>
      <c r="B6" s="122"/>
      <c r="C6" s="193" t="str">
        <f>Montag!C6</f>
        <v>Beham</v>
      </c>
      <c r="D6" s="193"/>
      <c r="E6" s="193"/>
      <c r="F6" s="193"/>
      <c r="G6" s="82"/>
      <c r="H6" s="82"/>
    </row>
    <row r="7" spans="1:8" ht="6.95" customHeight="1" thickBot="1" x14ac:dyDescent="0.25">
      <c r="A7" s="85"/>
      <c r="B7" s="85"/>
      <c r="C7" s="85"/>
      <c r="D7" s="85"/>
      <c r="E7" s="86"/>
      <c r="F7" s="87"/>
      <c r="G7" s="82"/>
      <c r="H7" s="82"/>
    </row>
    <row r="8" spans="1:8" ht="16.7" customHeight="1" x14ac:dyDescent="0.2">
      <c r="A8" s="124" t="s">
        <v>248</v>
      </c>
      <c r="B8" s="126"/>
      <c r="C8" s="127"/>
      <c r="D8" s="127"/>
      <c r="E8" s="128"/>
      <c r="F8" s="129" t="s">
        <v>249</v>
      </c>
      <c r="G8" s="101" t="s">
        <v>250</v>
      </c>
      <c r="H8" s="105">
        <v>0</v>
      </c>
    </row>
    <row r="9" spans="1:8" ht="16.7" customHeight="1" thickBot="1" x14ac:dyDescent="0.25">
      <c r="A9" s="125"/>
      <c r="B9" s="131"/>
      <c r="C9" s="132"/>
      <c r="D9" s="132"/>
      <c r="E9" s="133"/>
      <c r="F9" s="130"/>
      <c r="G9" s="102" t="s">
        <v>251</v>
      </c>
      <c r="H9" s="106">
        <v>0</v>
      </c>
    </row>
    <row r="10" spans="1:8" ht="16.7" customHeight="1" x14ac:dyDescent="0.2">
      <c r="A10" s="134" t="s">
        <v>267</v>
      </c>
      <c r="B10" s="103" t="s">
        <v>252</v>
      </c>
      <c r="C10" s="137" t="s">
        <v>253</v>
      </c>
      <c r="D10" s="138"/>
      <c r="E10" s="95" t="s">
        <v>254</v>
      </c>
      <c r="F10" s="88" t="s">
        <v>253</v>
      </c>
      <c r="G10" s="96" t="s">
        <v>254</v>
      </c>
      <c r="H10" s="88" t="s">
        <v>253</v>
      </c>
    </row>
    <row r="11" spans="1:8" ht="16.7" customHeight="1" x14ac:dyDescent="0.2">
      <c r="A11" s="135"/>
      <c r="B11" s="80" t="s">
        <v>255</v>
      </c>
      <c r="C11" s="115"/>
      <c r="D11" s="116"/>
      <c r="E11" s="195"/>
      <c r="F11" s="197"/>
      <c r="G11" s="195"/>
      <c r="H11" s="197"/>
    </row>
    <row r="12" spans="1:8" ht="16.7" customHeight="1" x14ac:dyDescent="0.2">
      <c r="A12" s="135"/>
      <c r="B12" s="80" t="s">
        <v>256</v>
      </c>
      <c r="C12" s="115"/>
      <c r="D12" s="116"/>
      <c r="E12" s="196"/>
      <c r="F12" s="198"/>
      <c r="G12" s="196"/>
      <c r="H12" s="198"/>
    </row>
    <row r="13" spans="1:8" ht="16.7" customHeight="1" x14ac:dyDescent="0.2">
      <c r="A13" s="135"/>
      <c r="B13" s="80" t="s">
        <v>241</v>
      </c>
      <c r="C13" s="115"/>
      <c r="D13" s="116"/>
      <c r="E13" s="195"/>
      <c r="F13" s="197"/>
      <c r="G13" s="195"/>
      <c r="H13" s="197"/>
    </row>
    <row r="14" spans="1:8" ht="16.7" customHeight="1" x14ac:dyDescent="0.2">
      <c r="A14" s="135"/>
      <c r="B14" s="111"/>
      <c r="C14" s="115"/>
      <c r="D14" s="116"/>
      <c r="E14" s="196"/>
      <c r="F14" s="198"/>
      <c r="G14" s="196"/>
      <c r="H14" s="198"/>
    </row>
    <row r="15" spans="1:8" ht="16.7" customHeight="1" thickBot="1" x14ac:dyDescent="0.25">
      <c r="A15" s="136"/>
      <c r="B15" s="104" t="s">
        <v>257</v>
      </c>
      <c r="C15" s="191">
        <f>SUM(C11:D14)</f>
        <v>0</v>
      </c>
      <c r="D15" s="192"/>
      <c r="E15" s="81"/>
      <c r="F15" s="89"/>
      <c r="G15" s="97"/>
      <c r="H15" s="89"/>
    </row>
    <row r="16" spans="1:8" ht="16.7" customHeight="1" x14ac:dyDescent="0.2">
      <c r="A16" s="124" t="s">
        <v>268</v>
      </c>
      <c r="B16" s="140" t="s">
        <v>258</v>
      </c>
      <c r="C16" s="140"/>
      <c r="D16" s="140"/>
      <c r="E16" s="140"/>
      <c r="F16" s="140"/>
      <c r="G16" s="140"/>
      <c r="H16" s="141"/>
    </row>
    <row r="17" spans="1:8" ht="16.7" customHeight="1" x14ac:dyDescent="0.2">
      <c r="A17" s="139"/>
      <c r="B17" s="142"/>
      <c r="C17" s="143"/>
      <c r="D17" s="143"/>
      <c r="E17" s="143"/>
      <c r="F17" s="143"/>
      <c r="G17" s="143"/>
      <c r="H17" s="144"/>
    </row>
    <row r="18" spans="1:8" ht="16.7" customHeight="1" x14ac:dyDescent="0.2">
      <c r="A18" s="139"/>
      <c r="B18" s="117"/>
      <c r="C18" s="145"/>
      <c r="D18" s="145"/>
      <c r="E18" s="145"/>
      <c r="F18" s="145"/>
      <c r="G18" s="145"/>
      <c r="H18" s="146"/>
    </row>
    <row r="19" spans="1:8" ht="16.7" customHeight="1" x14ac:dyDescent="0.2">
      <c r="A19" s="139"/>
      <c r="B19" s="117"/>
      <c r="C19" s="145"/>
      <c r="D19" s="145"/>
      <c r="E19" s="145"/>
      <c r="F19" s="145"/>
      <c r="G19" s="145"/>
      <c r="H19" s="146"/>
    </row>
    <row r="20" spans="1:8" ht="16.7" customHeight="1" x14ac:dyDescent="0.2">
      <c r="A20" s="139"/>
      <c r="B20" s="117"/>
      <c r="C20" s="145"/>
      <c r="D20" s="145"/>
      <c r="E20" s="145"/>
      <c r="F20" s="145"/>
      <c r="G20" s="145"/>
      <c r="H20" s="146"/>
    </row>
    <row r="21" spans="1:8" ht="16.7" customHeight="1" x14ac:dyDescent="0.2">
      <c r="A21" s="139"/>
      <c r="B21" s="117"/>
      <c r="C21" s="118"/>
      <c r="D21" s="118"/>
      <c r="E21" s="118"/>
      <c r="F21" s="118"/>
      <c r="G21" s="118"/>
      <c r="H21" s="119"/>
    </row>
    <row r="22" spans="1:8" ht="16.7" customHeight="1" x14ac:dyDescent="0.2">
      <c r="A22" s="139"/>
      <c r="B22" s="117"/>
      <c r="C22" s="118"/>
      <c r="D22" s="118"/>
      <c r="E22" s="118"/>
      <c r="F22" s="118"/>
      <c r="G22" s="118"/>
      <c r="H22" s="119"/>
    </row>
    <row r="23" spans="1:8" ht="16.7" customHeight="1" x14ac:dyDescent="0.2">
      <c r="A23" s="139"/>
      <c r="B23" s="117"/>
      <c r="C23" s="118"/>
      <c r="D23" s="118"/>
      <c r="E23" s="118"/>
      <c r="F23" s="118"/>
      <c r="G23" s="118"/>
      <c r="H23" s="119"/>
    </row>
    <row r="24" spans="1:8" ht="16.7" customHeight="1" x14ac:dyDescent="0.2">
      <c r="A24" s="139"/>
      <c r="B24" s="117"/>
      <c r="C24" s="118"/>
      <c r="D24" s="118"/>
      <c r="E24" s="118"/>
      <c r="F24" s="118"/>
      <c r="G24" s="118"/>
      <c r="H24" s="119"/>
    </row>
    <row r="25" spans="1:8" ht="16.7" customHeight="1" x14ac:dyDescent="0.2">
      <c r="A25" s="139"/>
      <c r="B25" s="117"/>
      <c r="C25" s="118"/>
      <c r="D25" s="118"/>
      <c r="E25" s="118"/>
      <c r="F25" s="118"/>
      <c r="G25" s="118"/>
      <c r="H25" s="119"/>
    </row>
    <row r="26" spans="1:8" ht="16.7" customHeight="1" x14ac:dyDescent="0.2">
      <c r="A26" s="139"/>
      <c r="B26" s="117"/>
      <c r="C26" s="118"/>
      <c r="D26" s="118"/>
      <c r="E26" s="118"/>
      <c r="F26" s="118"/>
      <c r="G26" s="118"/>
      <c r="H26" s="119"/>
    </row>
    <row r="27" spans="1:8" ht="16.7" customHeight="1" x14ac:dyDescent="0.2">
      <c r="A27" s="139"/>
      <c r="B27" s="117"/>
      <c r="C27" s="118"/>
      <c r="D27" s="118"/>
      <c r="E27" s="118"/>
      <c r="F27" s="118"/>
      <c r="G27" s="118"/>
      <c r="H27" s="119"/>
    </row>
    <row r="28" spans="1:8" ht="16.7" customHeight="1" x14ac:dyDescent="0.2">
      <c r="A28" s="139"/>
      <c r="B28" s="117"/>
      <c r="C28" s="118"/>
      <c r="D28" s="118"/>
      <c r="E28" s="118"/>
      <c r="F28" s="118"/>
      <c r="G28" s="118"/>
      <c r="H28" s="119"/>
    </row>
    <row r="29" spans="1:8" ht="16.7" customHeight="1" x14ac:dyDescent="0.2">
      <c r="A29" s="139"/>
      <c r="B29" s="117"/>
      <c r="C29" s="118"/>
      <c r="D29" s="118"/>
      <c r="E29" s="118"/>
      <c r="F29" s="118"/>
      <c r="G29" s="118"/>
      <c r="H29" s="119"/>
    </row>
    <row r="30" spans="1:8" ht="16.7" customHeight="1" thickBot="1" x14ac:dyDescent="0.25">
      <c r="A30" s="125"/>
      <c r="B30" s="165"/>
      <c r="C30" s="172"/>
      <c r="D30" s="172"/>
      <c r="E30" s="172"/>
      <c r="F30" s="172"/>
      <c r="G30" s="172"/>
      <c r="H30" s="173"/>
    </row>
    <row r="31" spans="1:8" ht="16.7" customHeight="1" x14ac:dyDescent="0.2">
      <c r="A31" s="174" t="s">
        <v>269</v>
      </c>
      <c r="B31" s="177" t="s">
        <v>259</v>
      </c>
      <c r="C31" s="178"/>
      <c r="D31" s="178"/>
      <c r="E31" s="179"/>
      <c r="F31" s="177" t="s">
        <v>259</v>
      </c>
      <c r="G31" s="178"/>
      <c r="H31" s="180"/>
    </row>
    <row r="32" spans="1:8" ht="16.7" customHeight="1" x14ac:dyDescent="0.2">
      <c r="A32" s="175"/>
      <c r="B32" s="158"/>
      <c r="C32" s="185"/>
      <c r="D32" s="185"/>
      <c r="E32" s="162"/>
      <c r="F32" s="186"/>
      <c r="G32" s="187"/>
      <c r="H32" s="188"/>
    </row>
    <row r="33" spans="1:8" ht="16.7" customHeight="1" x14ac:dyDescent="0.2">
      <c r="A33" s="175"/>
      <c r="B33" s="158"/>
      <c r="C33" s="185"/>
      <c r="D33" s="185"/>
      <c r="E33" s="162"/>
      <c r="F33" s="158"/>
      <c r="G33" s="159"/>
      <c r="H33" s="189"/>
    </row>
    <row r="34" spans="1:8" ht="16.7" customHeight="1" x14ac:dyDescent="0.2">
      <c r="A34" s="175"/>
      <c r="B34" s="158"/>
      <c r="C34" s="185"/>
      <c r="D34" s="185"/>
      <c r="E34" s="162"/>
      <c r="F34" s="158"/>
      <c r="G34" s="159"/>
      <c r="H34" s="189"/>
    </row>
    <row r="35" spans="1:8" ht="16.7" customHeight="1" thickBot="1" x14ac:dyDescent="0.25">
      <c r="A35" s="176"/>
      <c r="B35" s="161"/>
      <c r="C35" s="185"/>
      <c r="D35" s="185"/>
      <c r="E35" s="162"/>
      <c r="F35" s="161"/>
      <c r="G35" s="185"/>
      <c r="H35" s="190"/>
    </row>
    <row r="36" spans="1:8" ht="16.7" customHeight="1" x14ac:dyDescent="0.2">
      <c r="A36" s="150" t="s">
        <v>193</v>
      </c>
      <c r="B36" s="153" t="s">
        <v>260</v>
      </c>
      <c r="C36" s="154"/>
      <c r="D36" s="154"/>
      <c r="E36" s="155"/>
      <c r="F36" s="153" t="s">
        <v>261</v>
      </c>
      <c r="G36" s="155"/>
      <c r="H36" s="107" t="s">
        <v>0</v>
      </c>
    </row>
    <row r="37" spans="1:8" ht="16.7" customHeight="1" x14ac:dyDescent="0.2">
      <c r="A37" s="151"/>
      <c r="B37" s="156"/>
      <c r="C37" s="157"/>
      <c r="D37" s="157"/>
      <c r="E37" s="157"/>
      <c r="F37" s="157"/>
      <c r="G37" s="157"/>
      <c r="H37" s="98"/>
    </row>
    <row r="38" spans="1:8" ht="16.7" customHeight="1" x14ac:dyDescent="0.2">
      <c r="A38" s="151"/>
      <c r="B38" s="156"/>
      <c r="C38" s="157"/>
      <c r="D38" s="157"/>
      <c r="E38" s="157"/>
      <c r="F38" s="157"/>
      <c r="G38" s="157"/>
      <c r="H38" s="99"/>
    </row>
    <row r="39" spans="1:8" ht="16.7" customHeight="1" x14ac:dyDescent="0.2">
      <c r="A39" s="151"/>
      <c r="B39" s="158"/>
      <c r="C39" s="159"/>
      <c r="D39" s="159"/>
      <c r="E39" s="160"/>
      <c r="F39" s="161"/>
      <c r="G39" s="162"/>
      <c r="H39" s="99"/>
    </row>
    <row r="40" spans="1:8" ht="16.7" customHeight="1" thickBot="1" x14ac:dyDescent="0.25">
      <c r="A40" s="152"/>
      <c r="B40" s="163"/>
      <c r="C40" s="164"/>
      <c r="D40" s="164"/>
      <c r="E40" s="164"/>
      <c r="F40" s="164"/>
      <c r="G40" s="164"/>
      <c r="H40" s="100"/>
    </row>
    <row r="41" spans="1:8" ht="16.7" customHeight="1" x14ac:dyDescent="0.2">
      <c r="A41" s="134" t="s">
        <v>270</v>
      </c>
      <c r="B41" s="182"/>
      <c r="C41" s="183"/>
      <c r="D41" s="183"/>
      <c r="E41" s="183"/>
      <c r="F41" s="183"/>
      <c r="G41" s="183"/>
      <c r="H41" s="184"/>
    </row>
    <row r="42" spans="1:8" ht="16.7" customHeight="1" x14ac:dyDescent="0.2">
      <c r="A42" s="135"/>
      <c r="B42" s="117"/>
      <c r="C42" s="145"/>
      <c r="D42" s="145"/>
      <c r="E42" s="145"/>
      <c r="F42" s="145"/>
      <c r="G42" s="145"/>
      <c r="H42" s="146"/>
    </row>
    <row r="43" spans="1:8" ht="16.7" customHeight="1" x14ac:dyDescent="0.2">
      <c r="A43" s="135"/>
      <c r="B43" s="117"/>
      <c r="C43" s="145"/>
      <c r="D43" s="145"/>
      <c r="E43" s="145"/>
      <c r="F43" s="145"/>
      <c r="G43" s="145"/>
      <c r="H43" s="146"/>
    </row>
    <row r="44" spans="1:8" ht="16.7" customHeight="1" thickBot="1" x14ac:dyDescent="0.25">
      <c r="A44" s="136"/>
      <c r="B44" s="165"/>
      <c r="C44" s="166"/>
      <c r="D44" s="166"/>
      <c r="E44" s="166"/>
      <c r="F44" s="166"/>
      <c r="G44" s="166"/>
      <c r="H44" s="167"/>
    </row>
    <row r="45" spans="1:8" ht="24" customHeight="1" x14ac:dyDescent="0.2">
      <c r="A45" s="90"/>
      <c r="B45" s="91" t="s">
        <v>262</v>
      </c>
      <c r="C45" s="91"/>
      <c r="D45" s="90"/>
      <c r="E45" s="91"/>
      <c r="F45" s="91"/>
      <c r="G45" s="92"/>
      <c r="H45" s="92"/>
    </row>
    <row r="46" spans="1:8" ht="16.7" customHeight="1" x14ac:dyDescent="0.2">
      <c r="A46" s="92"/>
      <c r="B46" s="108" t="s">
        <v>263</v>
      </c>
      <c r="C46" s="147"/>
      <c r="D46" s="147"/>
      <c r="E46" s="90"/>
      <c r="F46" s="108" t="s">
        <v>264</v>
      </c>
      <c r="G46" s="148"/>
      <c r="H46" s="148"/>
    </row>
    <row r="47" spans="1:8" ht="16.7" customHeight="1" x14ac:dyDescent="0.2">
      <c r="A47" s="93"/>
      <c r="B47" s="93"/>
      <c r="C47" s="149" t="s">
        <v>265</v>
      </c>
      <c r="D47" s="149"/>
      <c r="E47" s="92"/>
      <c r="F47" s="92"/>
      <c r="G47" s="149" t="s">
        <v>266</v>
      </c>
      <c r="H47" s="149"/>
    </row>
  </sheetData>
  <sheetProtection algorithmName="SHA-512" hashValue="hDnqxJ5yIi6kFG1PwbzD5Q24Dd0o9rZgflz9QODml4IgDmazAhJeS9bXA36Eh7ErfglB5R1eBpFnahaJch+zhg==" saltValue="ccXe5mPkRsRDjZD0BmOnJA==" spinCount="100000" sheet="1" objects="1" selectLockedCells="1"/>
  <mergeCells count="77">
    <mergeCell ref="C46:D46"/>
    <mergeCell ref="G46:H46"/>
    <mergeCell ref="C47:D47"/>
    <mergeCell ref="G47:H47"/>
    <mergeCell ref="B40:E40"/>
    <mergeCell ref="F40:G40"/>
    <mergeCell ref="F33:H33"/>
    <mergeCell ref="B34:E34"/>
    <mergeCell ref="F34:H34"/>
    <mergeCell ref="B35:E35"/>
    <mergeCell ref="A41:A44"/>
    <mergeCell ref="B41:H41"/>
    <mergeCell ref="B42:H42"/>
    <mergeCell ref="B43:H43"/>
    <mergeCell ref="B44:H44"/>
    <mergeCell ref="B29:H29"/>
    <mergeCell ref="A36:A40"/>
    <mergeCell ref="B36:E36"/>
    <mergeCell ref="F36:G36"/>
    <mergeCell ref="B37:E37"/>
    <mergeCell ref="F37:G37"/>
    <mergeCell ref="B38:E38"/>
    <mergeCell ref="F38:G38"/>
    <mergeCell ref="B39:E39"/>
    <mergeCell ref="F39:G39"/>
    <mergeCell ref="A31:A35"/>
    <mergeCell ref="B31:E31"/>
    <mergeCell ref="F31:H31"/>
    <mergeCell ref="B32:E32"/>
    <mergeCell ref="F32:H32"/>
    <mergeCell ref="B33:E33"/>
    <mergeCell ref="B30:H30"/>
    <mergeCell ref="F35:H35"/>
    <mergeCell ref="A16:A30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H11:H12"/>
    <mergeCell ref="C12:D12"/>
    <mergeCell ref="C13:D13"/>
    <mergeCell ref="E13:E14"/>
    <mergeCell ref="F13:F14"/>
    <mergeCell ref="G13:G14"/>
    <mergeCell ref="H13:H14"/>
    <mergeCell ref="C14:D14"/>
    <mergeCell ref="G11:G12"/>
    <mergeCell ref="A10:A15"/>
    <mergeCell ref="C10:D10"/>
    <mergeCell ref="C11:D11"/>
    <mergeCell ref="E11:E12"/>
    <mergeCell ref="F11:F12"/>
    <mergeCell ref="C15:D15"/>
    <mergeCell ref="A8:A9"/>
    <mergeCell ref="B8:E8"/>
    <mergeCell ref="F8:F9"/>
    <mergeCell ref="B9:E9"/>
    <mergeCell ref="A1:C1"/>
    <mergeCell ref="D1:F1"/>
    <mergeCell ref="A2:B2"/>
    <mergeCell ref="C2:F2"/>
    <mergeCell ref="A3:B3"/>
    <mergeCell ref="C3:F3"/>
    <mergeCell ref="A4:B4"/>
    <mergeCell ref="A5:B5"/>
    <mergeCell ref="A6:B6"/>
    <mergeCell ref="C6:F6"/>
    <mergeCell ref="C4:D4"/>
  </mergeCells>
  <pageMargins left="0.59055118110236227" right="0.47244094488188981" top="0.39370078740157483" bottom="0.39370078740157483" header="0.51181102362204722" footer="0.31496062992125984"/>
  <pageSetup paperSize="9" orientation="portrait" r:id="rId1"/>
  <headerFooter alignWithMargins="0">
    <oddFooter>&amp;RSeite &amp;P von &amp;N</oddFooter>
  </headerFooter>
  <drawing r:id="rId2"/>
  <legacyDrawing r:id="rId3"/>
  <controls>
    <mc:AlternateContent xmlns:mc="http://schemas.openxmlformats.org/markup-compatibility/2006">
      <mc:Choice Requires="x14">
        <control shapeId="5142" r:id="rId4" name="ComboBox8">
          <controlPr defaultSize="0" autoLine="0" listFillRange="Geräte_Maschienen!A1:A113" r:id="rId5">
            <anchor moveWithCells="1">
              <from>
                <xdr:col>5</xdr:col>
                <xdr:colOff>19050</xdr:colOff>
                <xdr:row>34</xdr:row>
                <xdr:rowOff>9525</xdr:rowOff>
              </from>
              <to>
                <xdr:col>7</xdr:col>
                <xdr:colOff>876300</xdr:colOff>
                <xdr:row>34</xdr:row>
                <xdr:rowOff>190500</xdr:rowOff>
              </to>
            </anchor>
          </controlPr>
        </control>
      </mc:Choice>
      <mc:Fallback>
        <control shapeId="5142" r:id="rId4" name="ComboBox8"/>
      </mc:Fallback>
    </mc:AlternateContent>
    <mc:AlternateContent xmlns:mc="http://schemas.openxmlformats.org/markup-compatibility/2006">
      <mc:Choice Requires="x14">
        <control shapeId="5141" r:id="rId6" name="ComboBox7">
          <controlPr defaultSize="0" autoLine="0" listFillRange="Geräte_Maschienen!A1:A113" r:id="rId7">
            <anchor moveWithCells="1">
              <from>
                <xdr:col>1</xdr:col>
                <xdr:colOff>19050</xdr:colOff>
                <xdr:row>34</xdr:row>
                <xdr:rowOff>9525</xdr:rowOff>
              </from>
              <to>
                <xdr:col>4</xdr:col>
                <xdr:colOff>1190625</xdr:colOff>
                <xdr:row>34</xdr:row>
                <xdr:rowOff>190500</xdr:rowOff>
              </to>
            </anchor>
          </controlPr>
        </control>
      </mc:Choice>
      <mc:Fallback>
        <control shapeId="5141" r:id="rId6" name="ComboBox7"/>
      </mc:Fallback>
    </mc:AlternateContent>
    <mc:AlternateContent xmlns:mc="http://schemas.openxmlformats.org/markup-compatibility/2006">
      <mc:Choice Requires="x14">
        <control shapeId="5140" r:id="rId8" name="ComboBox5">
          <controlPr defaultSize="0" autoLine="0" listFillRange="Geräte_Maschienen!A1:A113" r:id="rId5">
            <anchor moveWithCells="1">
              <from>
                <xdr:col>5</xdr:col>
                <xdr:colOff>19050</xdr:colOff>
                <xdr:row>33</xdr:row>
                <xdr:rowOff>9525</xdr:rowOff>
              </from>
              <to>
                <xdr:col>7</xdr:col>
                <xdr:colOff>876300</xdr:colOff>
                <xdr:row>33</xdr:row>
                <xdr:rowOff>190500</xdr:rowOff>
              </to>
            </anchor>
          </controlPr>
        </control>
      </mc:Choice>
      <mc:Fallback>
        <control shapeId="5140" r:id="rId8" name="ComboBox5"/>
      </mc:Fallback>
    </mc:AlternateContent>
    <mc:AlternateContent xmlns:mc="http://schemas.openxmlformats.org/markup-compatibility/2006">
      <mc:Choice Requires="x14">
        <control shapeId="5139" r:id="rId9" name="ComboBox6">
          <controlPr defaultSize="0" autoLine="0" listFillRange="Geräte_Maschienen!A1:A113" r:id="rId7">
            <anchor moveWithCells="1">
              <from>
                <xdr:col>1</xdr:col>
                <xdr:colOff>19050</xdr:colOff>
                <xdr:row>33</xdr:row>
                <xdr:rowOff>9525</xdr:rowOff>
              </from>
              <to>
                <xdr:col>4</xdr:col>
                <xdr:colOff>1190625</xdr:colOff>
                <xdr:row>33</xdr:row>
                <xdr:rowOff>190500</xdr:rowOff>
              </to>
            </anchor>
          </controlPr>
        </control>
      </mc:Choice>
      <mc:Fallback>
        <control shapeId="5139" r:id="rId9" name="ComboBox6"/>
      </mc:Fallback>
    </mc:AlternateContent>
    <mc:AlternateContent xmlns:mc="http://schemas.openxmlformats.org/markup-compatibility/2006">
      <mc:Choice Requires="x14">
        <control shapeId="5138" r:id="rId10" name="ComboBox4">
          <controlPr defaultSize="0" autoLine="0" listFillRange="Geräte_Maschienen!A1:A113" r:id="rId5">
            <anchor moveWithCells="1">
              <from>
                <xdr:col>5</xdr:col>
                <xdr:colOff>19050</xdr:colOff>
                <xdr:row>32</xdr:row>
                <xdr:rowOff>9525</xdr:rowOff>
              </from>
              <to>
                <xdr:col>7</xdr:col>
                <xdr:colOff>876300</xdr:colOff>
                <xdr:row>32</xdr:row>
                <xdr:rowOff>190500</xdr:rowOff>
              </to>
            </anchor>
          </controlPr>
        </control>
      </mc:Choice>
      <mc:Fallback>
        <control shapeId="5138" r:id="rId10" name="ComboBox4"/>
      </mc:Fallback>
    </mc:AlternateContent>
    <mc:AlternateContent xmlns:mc="http://schemas.openxmlformats.org/markup-compatibility/2006">
      <mc:Choice Requires="x14">
        <control shapeId="5137" r:id="rId11" name="ComboBox3">
          <controlPr defaultSize="0" autoLine="0" listFillRange="Geräte_Maschienen!A1:A113" r:id="rId7">
            <anchor moveWithCells="1">
              <from>
                <xdr:col>1</xdr:col>
                <xdr:colOff>19050</xdr:colOff>
                <xdr:row>32</xdr:row>
                <xdr:rowOff>9525</xdr:rowOff>
              </from>
              <to>
                <xdr:col>4</xdr:col>
                <xdr:colOff>1190625</xdr:colOff>
                <xdr:row>32</xdr:row>
                <xdr:rowOff>190500</xdr:rowOff>
              </to>
            </anchor>
          </controlPr>
        </control>
      </mc:Choice>
      <mc:Fallback>
        <control shapeId="5137" r:id="rId11" name="ComboBox3"/>
      </mc:Fallback>
    </mc:AlternateContent>
    <mc:AlternateContent xmlns:mc="http://schemas.openxmlformats.org/markup-compatibility/2006">
      <mc:Choice Requires="x14">
        <control shapeId="5136" r:id="rId12" name="ComboBox2">
          <controlPr defaultSize="0" autoLine="0" autoPict="0" listFillRange="Geräte_Maschienen!A1:A113" r:id="rId5">
            <anchor moveWithCells="1">
              <from>
                <xdr:col>5</xdr:col>
                <xdr:colOff>19050</xdr:colOff>
                <xdr:row>31</xdr:row>
                <xdr:rowOff>9525</xdr:rowOff>
              </from>
              <to>
                <xdr:col>7</xdr:col>
                <xdr:colOff>876300</xdr:colOff>
                <xdr:row>31</xdr:row>
                <xdr:rowOff>200025</xdr:rowOff>
              </to>
            </anchor>
          </controlPr>
        </control>
      </mc:Choice>
      <mc:Fallback>
        <control shapeId="5136" r:id="rId12" name="ComboBox2"/>
      </mc:Fallback>
    </mc:AlternateContent>
    <mc:AlternateContent xmlns:mc="http://schemas.openxmlformats.org/markup-compatibility/2006">
      <mc:Choice Requires="x14">
        <control shapeId="5135" r:id="rId13" name="ComboBox1">
          <controlPr defaultSize="0" autoLine="0" listFillRange="Geräte_Maschienen!A1:A113" r:id="rId7">
            <anchor moveWithCells="1">
              <from>
                <xdr:col>1</xdr:col>
                <xdr:colOff>19050</xdr:colOff>
                <xdr:row>31</xdr:row>
                <xdr:rowOff>9525</xdr:rowOff>
              </from>
              <to>
                <xdr:col>4</xdr:col>
                <xdr:colOff>1190625</xdr:colOff>
                <xdr:row>31</xdr:row>
                <xdr:rowOff>190500</xdr:rowOff>
              </to>
            </anchor>
          </controlPr>
        </control>
      </mc:Choice>
      <mc:Fallback>
        <control shapeId="5135" r:id="rId13" name="ComboBox1"/>
      </mc:Fallback>
    </mc:AlternateContent>
    <mc:AlternateContent xmlns:mc="http://schemas.openxmlformats.org/markup-compatibility/2006">
      <mc:Choice Requires="x14">
        <control shapeId="5134" r:id="rId14" name="Button 14">
          <controlPr defaultSize="0" print="0" autoFill="0" autoPict="0" macro="[0]!PDF">
            <anchor moveWithCells="1" sizeWithCells="1">
              <from>
                <xdr:col>9</xdr:col>
                <xdr:colOff>9525</xdr:colOff>
                <xdr:row>0</xdr:row>
                <xdr:rowOff>28575</xdr:rowOff>
              </from>
              <to>
                <xdr:col>9</xdr:col>
                <xdr:colOff>685800</xdr:colOff>
                <xdr:row>2</xdr:row>
                <xdr:rowOff>180975</xdr:rowOff>
              </to>
            </anchor>
          </controlPr>
        </control>
      </mc:Choice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6"/>
  <dimension ref="A1:H47"/>
  <sheetViews>
    <sheetView showWhiteSpace="0" view="pageLayout" zoomScale="115" zoomScaleNormal="100" zoomScalePageLayoutView="115" workbookViewId="0">
      <selection activeCell="E5" sqref="E5"/>
    </sheetView>
  </sheetViews>
  <sheetFormatPr baseColWidth="10" defaultColWidth="11.42578125" defaultRowHeight="12.75" x14ac:dyDescent="0.2"/>
  <cols>
    <col min="1" max="1" width="3.85546875" style="1" customWidth="1"/>
    <col min="2" max="2" width="12.42578125" style="1" customWidth="1"/>
    <col min="3" max="3" width="9.85546875" style="1" customWidth="1"/>
    <col min="4" max="4" width="7.5703125" style="1" customWidth="1"/>
    <col min="5" max="5" width="17.42578125" style="1" customWidth="1"/>
    <col min="6" max="6" width="9.42578125" style="1" customWidth="1"/>
    <col min="7" max="7" width="17.42578125" style="1" bestFit="1" customWidth="1"/>
    <col min="8" max="8" width="12.5703125" style="1" customWidth="1"/>
    <col min="9" max="16384" width="11.42578125" style="1"/>
  </cols>
  <sheetData>
    <row r="1" spans="1:8" ht="18.399999999999999" customHeight="1" x14ac:dyDescent="0.2">
      <c r="A1" s="120" t="s">
        <v>242</v>
      </c>
      <c r="B1" s="120"/>
      <c r="C1" s="120"/>
      <c r="D1" s="120">
        <f>Montag!$D$1+2</f>
        <v>2</v>
      </c>
      <c r="E1" s="120"/>
      <c r="F1" s="120"/>
      <c r="G1" s="82"/>
      <c r="H1" s="82"/>
    </row>
    <row r="2" spans="1:8" ht="16.7" customHeight="1" x14ac:dyDescent="0.2">
      <c r="A2" s="122" t="s">
        <v>243</v>
      </c>
      <c r="B2" s="122"/>
      <c r="C2" s="193">
        <f>Montag!C2</f>
        <v>0</v>
      </c>
      <c r="D2" s="193"/>
      <c r="E2" s="193"/>
      <c r="F2" s="193"/>
      <c r="G2" s="82"/>
      <c r="H2" s="82"/>
    </row>
    <row r="3" spans="1:8" ht="16.7" customHeight="1" x14ac:dyDescent="0.2">
      <c r="A3" s="122" t="s">
        <v>1</v>
      </c>
      <c r="B3" s="122"/>
      <c r="C3" s="193">
        <f>Montag!C3</f>
        <v>0</v>
      </c>
      <c r="D3" s="193"/>
      <c r="E3" s="193"/>
      <c r="F3" s="193"/>
      <c r="G3" s="82"/>
      <c r="H3" s="82"/>
    </row>
    <row r="4" spans="1:8" ht="16.7" customHeight="1" x14ac:dyDescent="0.2">
      <c r="A4" s="122" t="s">
        <v>244</v>
      </c>
      <c r="B4" s="122"/>
      <c r="C4" s="194">
        <f>Montag!C4+2</f>
        <v>2</v>
      </c>
      <c r="D4" s="194"/>
      <c r="E4" s="109" t="s">
        <v>271</v>
      </c>
      <c r="F4" s="110">
        <f>WEEKNUM(C4,21)</f>
        <v>1</v>
      </c>
      <c r="G4" s="82"/>
      <c r="H4" s="82"/>
    </row>
    <row r="5" spans="1:8" ht="16.7" customHeight="1" x14ac:dyDescent="0.2">
      <c r="A5" s="122" t="s">
        <v>245</v>
      </c>
      <c r="B5" s="122"/>
      <c r="C5" s="94"/>
      <c r="D5" s="83" t="s">
        <v>246</v>
      </c>
      <c r="E5" s="94"/>
      <c r="F5" s="84"/>
      <c r="G5" s="82"/>
      <c r="H5" s="82"/>
    </row>
    <row r="6" spans="1:8" ht="16.7" customHeight="1" x14ac:dyDescent="0.2">
      <c r="A6" s="122" t="s">
        <v>247</v>
      </c>
      <c r="B6" s="122"/>
      <c r="C6" s="193" t="str">
        <f>Montag!C6</f>
        <v>Beham</v>
      </c>
      <c r="D6" s="193"/>
      <c r="E6" s="193"/>
      <c r="F6" s="193"/>
      <c r="G6" s="82"/>
      <c r="H6" s="82"/>
    </row>
    <row r="7" spans="1:8" ht="6.95" customHeight="1" thickBot="1" x14ac:dyDescent="0.25">
      <c r="A7" s="85"/>
      <c r="B7" s="85"/>
      <c r="C7" s="85"/>
      <c r="D7" s="85"/>
      <c r="E7" s="86"/>
      <c r="F7" s="87"/>
      <c r="G7" s="82"/>
      <c r="H7" s="82"/>
    </row>
    <row r="8" spans="1:8" ht="16.7" customHeight="1" x14ac:dyDescent="0.2">
      <c r="A8" s="124" t="s">
        <v>248</v>
      </c>
      <c r="B8" s="126"/>
      <c r="C8" s="127"/>
      <c r="D8" s="127"/>
      <c r="E8" s="128"/>
      <c r="F8" s="129" t="s">
        <v>249</v>
      </c>
      <c r="G8" s="101" t="s">
        <v>250</v>
      </c>
      <c r="H8" s="105">
        <v>0</v>
      </c>
    </row>
    <row r="9" spans="1:8" ht="16.7" customHeight="1" thickBot="1" x14ac:dyDescent="0.25">
      <c r="A9" s="125"/>
      <c r="B9" s="131"/>
      <c r="C9" s="132"/>
      <c r="D9" s="132"/>
      <c r="E9" s="133"/>
      <c r="F9" s="130"/>
      <c r="G9" s="102" t="s">
        <v>251</v>
      </c>
      <c r="H9" s="106">
        <v>0</v>
      </c>
    </row>
    <row r="10" spans="1:8" ht="16.7" customHeight="1" x14ac:dyDescent="0.2">
      <c r="A10" s="134" t="s">
        <v>267</v>
      </c>
      <c r="B10" s="103" t="s">
        <v>252</v>
      </c>
      <c r="C10" s="137" t="s">
        <v>253</v>
      </c>
      <c r="D10" s="138"/>
      <c r="E10" s="95" t="s">
        <v>254</v>
      </c>
      <c r="F10" s="88" t="s">
        <v>253</v>
      </c>
      <c r="G10" s="96" t="s">
        <v>254</v>
      </c>
      <c r="H10" s="88" t="s">
        <v>253</v>
      </c>
    </row>
    <row r="11" spans="1:8" ht="16.7" customHeight="1" x14ac:dyDescent="0.2">
      <c r="A11" s="135"/>
      <c r="B11" s="80" t="s">
        <v>255</v>
      </c>
      <c r="C11" s="115"/>
      <c r="D11" s="116"/>
      <c r="E11" s="195"/>
      <c r="F11" s="197"/>
      <c r="G11" s="195"/>
      <c r="H11" s="197"/>
    </row>
    <row r="12" spans="1:8" ht="16.7" customHeight="1" x14ac:dyDescent="0.2">
      <c r="A12" s="135"/>
      <c r="B12" s="80" t="s">
        <v>256</v>
      </c>
      <c r="C12" s="115"/>
      <c r="D12" s="116"/>
      <c r="E12" s="196"/>
      <c r="F12" s="198"/>
      <c r="G12" s="196"/>
      <c r="H12" s="198"/>
    </row>
    <row r="13" spans="1:8" ht="16.7" customHeight="1" x14ac:dyDescent="0.2">
      <c r="A13" s="135"/>
      <c r="B13" s="80" t="s">
        <v>241</v>
      </c>
      <c r="C13" s="115"/>
      <c r="D13" s="116"/>
      <c r="E13" s="195"/>
      <c r="F13" s="197"/>
      <c r="G13" s="195"/>
      <c r="H13" s="197"/>
    </row>
    <row r="14" spans="1:8" ht="16.7" customHeight="1" x14ac:dyDescent="0.2">
      <c r="A14" s="135"/>
      <c r="B14" s="111"/>
      <c r="C14" s="115"/>
      <c r="D14" s="116"/>
      <c r="E14" s="196"/>
      <c r="F14" s="198"/>
      <c r="G14" s="196"/>
      <c r="H14" s="198"/>
    </row>
    <row r="15" spans="1:8" ht="16.7" customHeight="1" thickBot="1" x14ac:dyDescent="0.25">
      <c r="A15" s="136"/>
      <c r="B15" s="104" t="s">
        <v>257</v>
      </c>
      <c r="C15" s="191">
        <f>SUM(C11:D14)</f>
        <v>0</v>
      </c>
      <c r="D15" s="192"/>
      <c r="E15" s="81"/>
      <c r="F15" s="89"/>
      <c r="G15" s="97"/>
      <c r="H15" s="89"/>
    </row>
    <row r="16" spans="1:8" ht="16.7" customHeight="1" x14ac:dyDescent="0.2">
      <c r="A16" s="124" t="s">
        <v>268</v>
      </c>
      <c r="B16" s="140" t="s">
        <v>258</v>
      </c>
      <c r="C16" s="140"/>
      <c r="D16" s="140"/>
      <c r="E16" s="140"/>
      <c r="F16" s="140"/>
      <c r="G16" s="140"/>
      <c r="H16" s="141"/>
    </row>
    <row r="17" spans="1:8" ht="16.7" customHeight="1" x14ac:dyDescent="0.2">
      <c r="A17" s="139"/>
      <c r="B17" s="142"/>
      <c r="C17" s="143"/>
      <c r="D17" s="143"/>
      <c r="E17" s="143"/>
      <c r="F17" s="143"/>
      <c r="G17" s="143"/>
      <c r="H17" s="144"/>
    </row>
    <row r="18" spans="1:8" ht="16.7" customHeight="1" x14ac:dyDescent="0.2">
      <c r="A18" s="139"/>
      <c r="B18" s="117"/>
      <c r="C18" s="145"/>
      <c r="D18" s="145"/>
      <c r="E18" s="145"/>
      <c r="F18" s="145"/>
      <c r="G18" s="145"/>
      <c r="H18" s="146"/>
    </row>
    <row r="19" spans="1:8" ht="16.7" customHeight="1" x14ac:dyDescent="0.2">
      <c r="A19" s="139"/>
      <c r="B19" s="117"/>
      <c r="C19" s="145"/>
      <c r="D19" s="145"/>
      <c r="E19" s="145"/>
      <c r="F19" s="145"/>
      <c r="G19" s="145"/>
      <c r="H19" s="146"/>
    </row>
    <row r="20" spans="1:8" ht="16.7" customHeight="1" x14ac:dyDescent="0.2">
      <c r="A20" s="139"/>
      <c r="B20" s="117"/>
      <c r="C20" s="145"/>
      <c r="D20" s="145"/>
      <c r="E20" s="145"/>
      <c r="F20" s="145"/>
      <c r="G20" s="145"/>
      <c r="H20" s="146"/>
    </row>
    <row r="21" spans="1:8" ht="16.7" customHeight="1" x14ac:dyDescent="0.2">
      <c r="A21" s="139"/>
      <c r="B21" s="117"/>
      <c r="C21" s="118"/>
      <c r="D21" s="118"/>
      <c r="E21" s="118"/>
      <c r="F21" s="118"/>
      <c r="G21" s="118"/>
      <c r="H21" s="119"/>
    </row>
    <row r="22" spans="1:8" ht="16.7" customHeight="1" x14ac:dyDescent="0.2">
      <c r="A22" s="139"/>
      <c r="B22" s="117"/>
      <c r="C22" s="118"/>
      <c r="D22" s="118"/>
      <c r="E22" s="118"/>
      <c r="F22" s="118"/>
      <c r="G22" s="118"/>
      <c r="H22" s="119"/>
    </row>
    <row r="23" spans="1:8" ht="16.7" customHeight="1" x14ac:dyDescent="0.2">
      <c r="A23" s="139"/>
      <c r="B23" s="117"/>
      <c r="C23" s="118"/>
      <c r="D23" s="118"/>
      <c r="E23" s="118"/>
      <c r="F23" s="118"/>
      <c r="G23" s="118"/>
      <c r="H23" s="119"/>
    </row>
    <row r="24" spans="1:8" ht="16.7" customHeight="1" x14ac:dyDescent="0.2">
      <c r="A24" s="139"/>
      <c r="B24" s="117"/>
      <c r="C24" s="118"/>
      <c r="D24" s="118"/>
      <c r="E24" s="118"/>
      <c r="F24" s="118"/>
      <c r="G24" s="118"/>
      <c r="H24" s="119"/>
    </row>
    <row r="25" spans="1:8" ht="16.7" customHeight="1" x14ac:dyDescent="0.2">
      <c r="A25" s="139"/>
      <c r="B25" s="117"/>
      <c r="C25" s="118"/>
      <c r="D25" s="118"/>
      <c r="E25" s="118"/>
      <c r="F25" s="118"/>
      <c r="G25" s="118"/>
      <c r="H25" s="119"/>
    </row>
    <row r="26" spans="1:8" ht="16.7" customHeight="1" x14ac:dyDescent="0.2">
      <c r="A26" s="139"/>
      <c r="B26" s="117"/>
      <c r="C26" s="118"/>
      <c r="D26" s="118"/>
      <c r="E26" s="118"/>
      <c r="F26" s="118"/>
      <c r="G26" s="118"/>
      <c r="H26" s="119"/>
    </row>
    <row r="27" spans="1:8" ht="16.7" customHeight="1" x14ac:dyDescent="0.2">
      <c r="A27" s="139"/>
      <c r="B27" s="117"/>
      <c r="C27" s="118"/>
      <c r="D27" s="118"/>
      <c r="E27" s="118"/>
      <c r="F27" s="118"/>
      <c r="G27" s="118"/>
      <c r="H27" s="119"/>
    </row>
    <row r="28" spans="1:8" ht="16.7" customHeight="1" x14ac:dyDescent="0.2">
      <c r="A28" s="139"/>
      <c r="B28" s="117"/>
      <c r="C28" s="118"/>
      <c r="D28" s="118"/>
      <c r="E28" s="118"/>
      <c r="F28" s="118"/>
      <c r="G28" s="118"/>
      <c r="H28" s="119"/>
    </row>
    <row r="29" spans="1:8" ht="16.7" customHeight="1" x14ac:dyDescent="0.2">
      <c r="A29" s="139"/>
      <c r="B29" s="117"/>
      <c r="C29" s="118"/>
      <c r="D29" s="118"/>
      <c r="E29" s="118"/>
      <c r="F29" s="118"/>
      <c r="G29" s="118"/>
      <c r="H29" s="119"/>
    </row>
    <row r="30" spans="1:8" ht="16.7" customHeight="1" thickBot="1" x14ac:dyDescent="0.25">
      <c r="A30" s="125"/>
      <c r="B30" s="165"/>
      <c r="C30" s="172"/>
      <c r="D30" s="172"/>
      <c r="E30" s="172"/>
      <c r="F30" s="172"/>
      <c r="G30" s="172"/>
      <c r="H30" s="173"/>
    </row>
    <row r="31" spans="1:8" ht="16.7" customHeight="1" x14ac:dyDescent="0.2">
      <c r="A31" s="174" t="s">
        <v>269</v>
      </c>
      <c r="B31" s="177" t="s">
        <v>259</v>
      </c>
      <c r="C31" s="178"/>
      <c r="D31" s="178"/>
      <c r="E31" s="179"/>
      <c r="F31" s="177" t="s">
        <v>259</v>
      </c>
      <c r="G31" s="178"/>
      <c r="H31" s="180"/>
    </row>
    <row r="32" spans="1:8" ht="16.7" customHeight="1" x14ac:dyDescent="0.2">
      <c r="A32" s="175"/>
      <c r="B32" s="158"/>
      <c r="C32" s="185"/>
      <c r="D32" s="185"/>
      <c r="E32" s="162"/>
      <c r="F32" s="186"/>
      <c r="G32" s="187"/>
      <c r="H32" s="188"/>
    </row>
    <row r="33" spans="1:8" ht="16.7" customHeight="1" x14ac:dyDescent="0.2">
      <c r="A33" s="175"/>
      <c r="B33" s="158"/>
      <c r="C33" s="185"/>
      <c r="D33" s="185"/>
      <c r="E33" s="162"/>
      <c r="F33" s="158"/>
      <c r="G33" s="159"/>
      <c r="H33" s="189"/>
    </row>
    <row r="34" spans="1:8" ht="16.7" customHeight="1" x14ac:dyDescent="0.2">
      <c r="A34" s="175"/>
      <c r="B34" s="158"/>
      <c r="C34" s="185"/>
      <c r="D34" s="185"/>
      <c r="E34" s="162"/>
      <c r="F34" s="158"/>
      <c r="G34" s="159"/>
      <c r="H34" s="189"/>
    </row>
    <row r="35" spans="1:8" ht="16.7" customHeight="1" thickBot="1" x14ac:dyDescent="0.25">
      <c r="A35" s="176"/>
      <c r="B35" s="161"/>
      <c r="C35" s="185"/>
      <c r="D35" s="185"/>
      <c r="E35" s="162"/>
      <c r="F35" s="161"/>
      <c r="G35" s="185"/>
      <c r="H35" s="190"/>
    </row>
    <row r="36" spans="1:8" ht="16.7" customHeight="1" x14ac:dyDescent="0.2">
      <c r="A36" s="150" t="s">
        <v>193</v>
      </c>
      <c r="B36" s="153" t="s">
        <v>260</v>
      </c>
      <c r="C36" s="154"/>
      <c r="D36" s="154"/>
      <c r="E36" s="155"/>
      <c r="F36" s="153" t="s">
        <v>261</v>
      </c>
      <c r="G36" s="155"/>
      <c r="H36" s="107" t="s">
        <v>0</v>
      </c>
    </row>
    <row r="37" spans="1:8" ht="16.7" customHeight="1" x14ac:dyDescent="0.2">
      <c r="A37" s="151"/>
      <c r="B37" s="156"/>
      <c r="C37" s="157"/>
      <c r="D37" s="157"/>
      <c r="E37" s="157"/>
      <c r="F37" s="157"/>
      <c r="G37" s="157"/>
      <c r="H37" s="98"/>
    </row>
    <row r="38" spans="1:8" ht="16.7" customHeight="1" x14ac:dyDescent="0.2">
      <c r="A38" s="151"/>
      <c r="B38" s="156"/>
      <c r="C38" s="157"/>
      <c r="D38" s="157"/>
      <c r="E38" s="157"/>
      <c r="F38" s="157"/>
      <c r="G38" s="157"/>
      <c r="H38" s="99"/>
    </row>
    <row r="39" spans="1:8" ht="16.7" customHeight="1" x14ac:dyDescent="0.2">
      <c r="A39" s="151"/>
      <c r="B39" s="158"/>
      <c r="C39" s="159"/>
      <c r="D39" s="159"/>
      <c r="E39" s="160"/>
      <c r="F39" s="161"/>
      <c r="G39" s="162"/>
      <c r="H39" s="99"/>
    </row>
    <row r="40" spans="1:8" ht="16.7" customHeight="1" thickBot="1" x14ac:dyDescent="0.25">
      <c r="A40" s="152"/>
      <c r="B40" s="163"/>
      <c r="C40" s="164"/>
      <c r="D40" s="164"/>
      <c r="E40" s="164"/>
      <c r="F40" s="164"/>
      <c r="G40" s="164"/>
      <c r="H40" s="100"/>
    </row>
    <row r="41" spans="1:8" ht="16.7" customHeight="1" x14ac:dyDescent="0.2">
      <c r="A41" s="134" t="s">
        <v>270</v>
      </c>
      <c r="B41" s="182"/>
      <c r="C41" s="183"/>
      <c r="D41" s="183"/>
      <c r="E41" s="183"/>
      <c r="F41" s="183"/>
      <c r="G41" s="183"/>
      <c r="H41" s="184"/>
    </row>
    <row r="42" spans="1:8" ht="16.7" customHeight="1" x14ac:dyDescent="0.2">
      <c r="A42" s="135"/>
      <c r="B42" s="117"/>
      <c r="C42" s="145"/>
      <c r="D42" s="145"/>
      <c r="E42" s="145"/>
      <c r="F42" s="145"/>
      <c r="G42" s="145"/>
      <c r="H42" s="146"/>
    </row>
    <row r="43" spans="1:8" ht="16.7" customHeight="1" x14ac:dyDescent="0.2">
      <c r="A43" s="135"/>
      <c r="B43" s="117"/>
      <c r="C43" s="145"/>
      <c r="D43" s="145"/>
      <c r="E43" s="145"/>
      <c r="F43" s="145"/>
      <c r="G43" s="145"/>
      <c r="H43" s="146"/>
    </row>
    <row r="44" spans="1:8" ht="16.7" customHeight="1" thickBot="1" x14ac:dyDescent="0.25">
      <c r="A44" s="136"/>
      <c r="B44" s="165"/>
      <c r="C44" s="166"/>
      <c r="D44" s="166"/>
      <c r="E44" s="166"/>
      <c r="F44" s="166"/>
      <c r="G44" s="166"/>
      <c r="H44" s="167"/>
    </row>
    <row r="45" spans="1:8" ht="24" customHeight="1" x14ac:dyDescent="0.2">
      <c r="A45" s="90"/>
      <c r="B45" s="91" t="s">
        <v>262</v>
      </c>
      <c r="C45" s="91"/>
      <c r="D45" s="90"/>
      <c r="E45" s="91"/>
      <c r="F45" s="91"/>
      <c r="G45" s="92"/>
      <c r="H45" s="92"/>
    </row>
    <row r="46" spans="1:8" ht="16.7" customHeight="1" x14ac:dyDescent="0.2">
      <c r="A46" s="92"/>
      <c r="B46" s="108" t="s">
        <v>263</v>
      </c>
      <c r="C46" s="147"/>
      <c r="D46" s="147"/>
      <c r="E46" s="90"/>
      <c r="F46" s="108" t="s">
        <v>264</v>
      </c>
      <c r="G46" s="148"/>
      <c r="H46" s="148"/>
    </row>
    <row r="47" spans="1:8" ht="16.7" customHeight="1" x14ac:dyDescent="0.2">
      <c r="A47" s="93"/>
      <c r="B47" s="93"/>
      <c r="C47" s="149" t="s">
        <v>265</v>
      </c>
      <c r="D47" s="149"/>
      <c r="E47" s="92"/>
      <c r="F47" s="92"/>
      <c r="G47" s="149" t="s">
        <v>266</v>
      </c>
      <c r="H47" s="149"/>
    </row>
  </sheetData>
  <sheetProtection algorithmName="SHA-512" hashValue="SiqYCyZ15iPMetrurXJBAuYx5kYjwByDC/XMZGJ294/Yhj8tgivEjH/vNaTwUKoXCIKOn+nRWbKZovn56gTRJQ==" saltValue="beGEPPGliV8pFssWE7CQCw==" spinCount="100000" sheet="1" objects="1" selectLockedCells="1"/>
  <mergeCells count="77">
    <mergeCell ref="C46:D46"/>
    <mergeCell ref="G46:H46"/>
    <mergeCell ref="C47:D47"/>
    <mergeCell ref="G47:H47"/>
    <mergeCell ref="B40:E40"/>
    <mergeCell ref="F40:G40"/>
    <mergeCell ref="F33:H33"/>
    <mergeCell ref="B34:E34"/>
    <mergeCell ref="F34:H34"/>
    <mergeCell ref="B35:E35"/>
    <mergeCell ref="A41:A44"/>
    <mergeCell ref="B41:H41"/>
    <mergeCell ref="B42:H42"/>
    <mergeCell ref="B43:H43"/>
    <mergeCell ref="B44:H44"/>
    <mergeCell ref="B29:H29"/>
    <mergeCell ref="A36:A40"/>
    <mergeCell ref="B36:E36"/>
    <mergeCell ref="F36:G36"/>
    <mergeCell ref="B37:E37"/>
    <mergeCell ref="F37:G37"/>
    <mergeCell ref="B38:E38"/>
    <mergeCell ref="F38:G38"/>
    <mergeCell ref="B39:E39"/>
    <mergeCell ref="F39:G39"/>
    <mergeCell ref="A31:A35"/>
    <mergeCell ref="B31:E31"/>
    <mergeCell ref="F31:H31"/>
    <mergeCell ref="B32:E32"/>
    <mergeCell ref="F32:H32"/>
    <mergeCell ref="B33:E33"/>
    <mergeCell ref="B30:H30"/>
    <mergeCell ref="F35:H35"/>
    <mergeCell ref="A16:A30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H11:H12"/>
    <mergeCell ref="C12:D12"/>
    <mergeCell ref="C13:D13"/>
    <mergeCell ref="E13:E14"/>
    <mergeCell ref="F13:F14"/>
    <mergeCell ref="G13:G14"/>
    <mergeCell ref="H13:H14"/>
    <mergeCell ref="C14:D14"/>
    <mergeCell ref="G11:G12"/>
    <mergeCell ref="A10:A15"/>
    <mergeCell ref="C10:D10"/>
    <mergeCell ref="C11:D11"/>
    <mergeCell ref="E11:E12"/>
    <mergeCell ref="F11:F12"/>
    <mergeCell ref="C15:D15"/>
    <mergeCell ref="A8:A9"/>
    <mergeCell ref="B8:E8"/>
    <mergeCell ref="F8:F9"/>
    <mergeCell ref="B9:E9"/>
    <mergeCell ref="A1:C1"/>
    <mergeCell ref="D1:F1"/>
    <mergeCell ref="A2:B2"/>
    <mergeCell ref="C2:F2"/>
    <mergeCell ref="A3:B3"/>
    <mergeCell ref="C3:F3"/>
    <mergeCell ref="A4:B4"/>
    <mergeCell ref="A5:B5"/>
    <mergeCell ref="A6:B6"/>
    <mergeCell ref="C6:F6"/>
    <mergeCell ref="C4:D4"/>
  </mergeCells>
  <pageMargins left="0.59055118110236227" right="0.47244094488188981" top="0.39370078740157483" bottom="0.39370078740157483" header="0.51181102362204722" footer="0.31496062992125984"/>
  <pageSetup paperSize="9" orientation="portrait" r:id="rId1"/>
  <headerFooter alignWithMargins="0">
    <oddFooter>&amp;RSeite &amp;P von &amp;N</oddFooter>
  </headerFooter>
  <drawing r:id="rId2"/>
  <legacyDrawing r:id="rId3"/>
  <controls>
    <mc:AlternateContent xmlns:mc="http://schemas.openxmlformats.org/markup-compatibility/2006">
      <mc:Choice Requires="x14">
        <control shapeId="6166" r:id="rId4" name="ComboBox8">
          <controlPr defaultSize="0" autoLine="0" listFillRange="Geräte_Maschienen!A1:A113" r:id="rId5">
            <anchor moveWithCells="1">
              <from>
                <xdr:col>5</xdr:col>
                <xdr:colOff>19050</xdr:colOff>
                <xdr:row>34</xdr:row>
                <xdr:rowOff>9525</xdr:rowOff>
              </from>
              <to>
                <xdr:col>7</xdr:col>
                <xdr:colOff>876300</xdr:colOff>
                <xdr:row>34</xdr:row>
                <xdr:rowOff>190500</xdr:rowOff>
              </to>
            </anchor>
          </controlPr>
        </control>
      </mc:Choice>
      <mc:Fallback>
        <control shapeId="6166" r:id="rId4" name="ComboBox8"/>
      </mc:Fallback>
    </mc:AlternateContent>
    <mc:AlternateContent xmlns:mc="http://schemas.openxmlformats.org/markup-compatibility/2006">
      <mc:Choice Requires="x14">
        <control shapeId="6165" r:id="rId6" name="ComboBox7">
          <controlPr defaultSize="0" autoLine="0" listFillRange="Geräte_Maschienen!A1:A113" r:id="rId7">
            <anchor moveWithCells="1">
              <from>
                <xdr:col>1</xdr:col>
                <xdr:colOff>19050</xdr:colOff>
                <xdr:row>34</xdr:row>
                <xdr:rowOff>9525</xdr:rowOff>
              </from>
              <to>
                <xdr:col>4</xdr:col>
                <xdr:colOff>1190625</xdr:colOff>
                <xdr:row>34</xdr:row>
                <xdr:rowOff>190500</xdr:rowOff>
              </to>
            </anchor>
          </controlPr>
        </control>
      </mc:Choice>
      <mc:Fallback>
        <control shapeId="6165" r:id="rId6" name="ComboBox7"/>
      </mc:Fallback>
    </mc:AlternateContent>
    <mc:AlternateContent xmlns:mc="http://schemas.openxmlformats.org/markup-compatibility/2006">
      <mc:Choice Requires="x14">
        <control shapeId="6164" r:id="rId8" name="ComboBox5">
          <controlPr defaultSize="0" autoLine="0" listFillRange="Geräte_Maschienen!A1:A113" r:id="rId5">
            <anchor moveWithCells="1">
              <from>
                <xdr:col>5</xdr:col>
                <xdr:colOff>19050</xdr:colOff>
                <xdr:row>33</xdr:row>
                <xdr:rowOff>9525</xdr:rowOff>
              </from>
              <to>
                <xdr:col>7</xdr:col>
                <xdr:colOff>876300</xdr:colOff>
                <xdr:row>33</xdr:row>
                <xdr:rowOff>190500</xdr:rowOff>
              </to>
            </anchor>
          </controlPr>
        </control>
      </mc:Choice>
      <mc:Fallback>
        <control shapeId="6164" r:id="rId8" name="ComboBox5"/>
      </mc:Fallback>
    </mc:AlternateContent>
    <mc:AlternateContent xmlns:mc="http://schemas.openxmlformats.org/markup-compatibility/2006">
      <mc:Choice Requires="x14">
        <control shapeId="6163" r:id="rId9" name="ComboBox6">
          <controlPr defaultSize="0" autoLine="0" listFillRange="Geräte_Maschienen!A1:A113" r:id="rId7">
            <anchor moveWithCells="1">
              <from>
                <xdr:col>1</xdr:col>
                <xdr:colOff>19050</xdr:colOff>
                <xdr:row>33</xdr:row>
                <xdr:rowOff>9525</xdr:rowOff>
              </from>
              <to>
                <xdr:col>4</xdr:col>
                <xdr:colOff>1190625</xdr:colOff>
                <xdr:row>33</xdr:row>
                <xdr:rowOff>190500</xdr:rowOff>
              </to>
            </anchor>
          </controlPr>
        </control>
      </mc:Choice>
      <mc:Fallback>
        <control shapeId="6163" r:id="rId9" name="ComboBox6"/>
      </mc:Fallback>
    </mc:AlternateContent>
    <mc:AlternateContent xmlns:mc="http://schemas.openxmlformats.org/markup-compatibility/2006">
      <mc:Choice Requires="x14">
        <control shapeId="6162" r:id="rId10" name="ComboBox4">
          <controlPr defaultSize="0" autoLine="0" listFillRange="Geräte_Maschienen!A1:A113" r:id="rId5">
            <anchor moveWithCells="1">
              <from>
                <xdr:col>5</xdr:col>
                <xdr:colOff>19050</xdr:colOff>
                <xdr:row>32</xdr:row>
                <xdr:rowOff>9525</xdr:rowOff>
              </from>
              <to>
                <xdr:col>7</xdr:col>
                <xdr:colOff>876300</xdr:colOff>
                <xdr:row>32</xdr:row>
                <xdr:rowOff>190500</xdr:rowOff>
              </to>
            </anchor>
          </controlPr>
        </control>
      </mc:Choice>
      <mc:Fallback>
        <control shapeId="6162" r:id="rId10" name="ComboBox4"/>
      </mc:Fallback>
    </mc:AlternateContent>
    <mc:AlternateContent xmlns:mc="http://schemas.openxmlformats.org/markup-compatibility/2006">
      <mc:Choice Requires="x14">
        <control shapeId="6161" r:id="rId11" name="ComboBox3">
          <controlPr defaultSize="0" autoLine="0" listFillRange="Geräte_Maschienen!A1:A113" r:id="rId7">
            <anchor moveWithCells="1">
              <from>
                <xdr:col>1</xdr:col>
                <xdr:colOff>19050</xdr:colOff>
                <xdr:row>32</xdr:row>
                <xdr:rowOff>9525</xdr:rowOff>
              </from>
              <to>
                <xdr:col>4</xdr:col>
                <xdr:colOff>1190625</xdr:colOff>
                <xdr:row>32</xdr:row>
                <xdr:rowOff>190500</xdr:rowOff>
              </to>
            </anchor>
          </controlPr>
        </control>
      </mc:Choice>
      <mc:Fallback>
        <control shapeId="6161" r:id="rId11" name="ComboBox3"/>
      </mc:Fallback>
    </mc:AlternateContent>
    <mc:AlternateContent xmlns:mc="http://schemas.openxmlformats.org/markup-compatibility/2006">
      <mc:Choice Requires="x14">
        <control shapeId="6160" r:id="rId12" name="ComboBox2">
          <controlPr defaultSize="0" autoLine="0" autoPict="0" listFillRange="Geräte_Maschienen!A1:A113" r:id="rId5">
            <anchor moveWithCells="1">
              <from>
                <xdr:col>5</xdr:col>
                <xdr:colOff>19050</xdr:colOff>
                <xdr:row>31</xdr:row>
                <xdr:rowOff>9525</xdr:rowOff>
              </from>
              <to>
                <xdr:col>7</xdr:col>
                <xdr:colOff>876300</xdr:colOff>
                <xdr:row>31</xdr:row>
                <xdr:rowOff>200025</xdr:rowOff>
              </to>
            </anchor>
          </controlPr>
        </control>
      </mc:Choice>
      <mc:Fallback>
        <control shapeId="6160" r:id="rId12" name="ComboBox2"/>
      </mc:Fallback>
    </mc:AlternateContent>
    <mc:AlternateContent xmlns:mc="http://schemas.openxmlformats.org/markup-compatibility/2006">
      <mc:Choice Requires="x14">
        <control shapeId="6159" r:id="rId13" name="ComboBox1">
          <controlPr defaultSize="0" autoLine="0" listFillRange="Geräte_Maschienen!A1:A113" r:id="rId7">
            <anchor moveWithCells="1">
              <from>
                <xdr:col>1</xdr:col>
                <xdr:colOff>19050</xdr:colOff>
                <xdr:row>31</xdr:row>
                <xdr:rowOff>9525</xdr:rowOff>
              </from>
              <to>
                <xdr:col>4</xdr:col>
                <xdr:colOff>1190625</xdr:colOff>
                <xdr:row>31</xdr:row>
                <xdr:rowOff>190500</xdr:rowOff>
              </to>
            </anchor>
          </controlPr>
        </control>
      </mc:Choice>
      <mc:Fallback>
        <control shapeId="6159" r:id="rId13" name="ComboBox1"/>
      </mc:Fallback>
    </mc:AlternateContent>
    <mc:AlternateContent xmlns:mc="http://schemas.openxmlformats.org/markup-compatibility/2006">
      <mc:Choice Requires="x14">
        <control shapeId="6158" r:id="rId14" name="Button 14">
          <controlPr defaultSize="0" print="0" autoFill="0" autoPict="0" macro="[0]!PDF">
            <anchor moveWithCells="1" sizeWithCells="1">
              <from>
                <xdr:col>9</xdr:col>
                <xdr:colOff>9525</xdr:colOff>
                <xdr:row>0</xdr:row>
                <xdr:rowOff>28575</xdr:rowOff>
              </from>
              <to>
                <xdr:col>9</xdr:col>
                <xdr:colOff>685800</xdr:colOff>
                <xdr:row>2</xdr:row>
                <xdr:rowOff>180975</xdr:rowOff>
              </to>
            </anchor>
          </controlPr>
        </control>
      </mc:Choice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7"/>
  <dimension ref="A1:H47"/>
  <sheetViews>
    <sheetView showWhiteSpace="0" view="pageLayout" topLeftCell="A22" zoomScale="115" zoomScaleNormal="100" zoomScalePageLayoutView="115" workbookViewId="0">
      <selection activeCell="C5" sqref="C5"/>
    </sheetView>
  </sheetViews>
  <sheetFormatPr baseColWidth="10" defaultColWidth="11.42578125" defaultRowHeight="12.75" x14ac:dyDescent="0.2"/>
  <cols>
    <col min="1" max="1" width="3.85546875" style="1" customWidth="1"/>
    <col min="2" max="2" width="12.42578125" style="1" customWidth="1"/>
    <col min="3" max="3" width="9.85546875" style="1" customWidth="1"/>
    <col min="4" max="4" width="7.5703125" style="1" customWidth="1"/>
    <col min="5" max="5" width="17.42578125" style="1" customWidth="1"/>
    <col min="6" max="6" width="9.42578125" style="1" customWidth="1"/>
    <col min="7" max="7" width="17.42578125" style="1" bestFit="1" customWidth="1"/>
    <col min="8" max="8" width="12.5703125" style="1" customWidth="1"/>
    <col min="9" max="16384" width="11.42578125" style="1"/>
  </cols>
  <sheetData>
    <row r="1" spans="1:8" ht="18.399999999999999" customHeight="1" x14ac:dyDescent="0.2">
      <c r="A1" s="120" t="s">
        <v>242</v>
      </c>
      <c r="B1" s="120"/>
      <c r="C1" s="120"/>
      <c r="D1" s="120">
        <f>Montag!$D$1+3</f>
        <v>3</v>
      </c>
      <c r="E1" s="120"/>
      <c r="F1" s="120"/>
      <c r="G1" s="82"/>
      <c r="H1" s="82"/>
    </row>
    <row r="2" spans="1:8" ht="16.7" customHeight="1" x14ac:dyDescent="0.2">
      <c r="A2" s="122" t="s">
        <v>243</v>
      </c>
      <c r="B2" s="122"/>
      <c r="C2" s="193">
        <f>Montag!C2</f>
        <v>0</v>
      </c>
      <c r="D2" s="193"/>
      <c r="E2" s="193"/>
      <c r="F2" s="193"/>
      <c r="G2" s="82"/>
      <c r="H2" s="82"/>
    </row>
    <row r="3" spans="1:8" ht="16.7" customHeight="1" x14ac:dyDescent="0.2">
      <c r="A3" s="122" t="s">
        <v>1</v>
      </c>
      <c r="B3" s="122"/>
      <c r="C3" s="193">
        <f>Montag!C3</f>
        <v>0</v>
      </c>
      <c r="D3" s="193"/>
      <c r="E3" s="193"/>
      <c r="F3" s="193"/>
      <c r="G3" s="82"/>
      <c r="H3" s="82"/>
    </row>
    <row r="4" spans="1:8" ht="16.7" customHeight="1" x14ac:dyDescent="0.2">
      <c r="A4" s="122" t="s">
        <v>244</v>
      </c>
      <c r="B4" s="122"/>
      <c r="C4" s="194">
        <f>Montag!C4+3</f>
        <v>3</v>
      </c>
      <c r="D4" s="194"/>
      <c r="E4" s="109" t="s">
        <v>271</v>
      </c>
      <c r="F4" s="110">
        <f>WEEKNUM(C4,21)</f>
        <v>1</v>
      </c>
      <c r="G4" s="82"/>
      <c r="H4" s="82"/>
    </row>
    <row r="5" spans="1:8" ht="16.7" customHeight="1" x14ac:dyDescent="0.2">
      <c r="A5" s="122" t="s">
        <v>245</v>
      </c>
      <c r="B5" s="122"/>
      <c r="C5" s="94"/>
      <c r="D5" s="83" t="s">
        <v>246</v>
      </c>
      <c r="E5" s="94"/>
      <c r="F5" s="84"/>
      <c r="G5" s="82"/>
      <c r="H5" s="82"/>
    </row>
    <row r="6" spans="1:8" ht="16.7" customHeight="1" x14ac:dyDescent="0.2">
      <c r="A6" s="122" t="s">
        <v>247</v>
      </c>
      <c r="B6" s="122"/>
      <c r="C6" s="193" t="str">
        <f>Montag!C6</f>
        <v>Beham</v>
      </c>
      <c r="D6" s="193"/>
      <c r="E6" s="193"/>
      <c r="F6" s="193"/>
      <c r="G6" s="82"/>
      <c r="H6" s="82"/>
    </row>
    <row r="7" spans="1:8" ht="6.95" customHeight="1" thickBot="1" x14ac:dyDescent="0.25">
      <c r="A7" s="85"/>
      <c r="B7" s="85"/>
      <c r="C7" s="85"/>
      <c r="D7" s="85"/>
      <c r="E7" s="86"/>
      <c r="F7" s="87"/>
      <c r="G7" s="82"/>
      <c r="H7" s="82"/>
    </row>
    <row r="8" spans="1:8" ht="16.7" customHeight="1" x14ac:dyDescent="0.2">
      <c r="A8" s="124" t="s">
        <v>248</v>
      </c>
      <c r="B8" s="126"/>
      <c r="C8" s="127"/>
      <c r="D8" s="127"/>
      <c r="E8" s="128"/>
      <c r="F8" s="129" t="s">
        <v>249</v>
      </c>
      <c r="G8" s="101" t="s">
        <v>250</v>
      </c>
      <c r="H8" s="105">
        <v>0</v>
      </c>
    </row>
    <row r="9" spans="1:8" ht="16.7" customHeight="1" thickBot="1" x14ac:dyDescent="0.25">
      <c r="A9" s="125"/>
      <c r="B9" s="131"/>
      <c r="C9" s="132"/>
      <c r="D9" s="132"/>
      <c r="E9" s="133"/>
      <c r="F9" s="130"/>
      <c r="G9" s="102" t="s">
        <v>251</v>
      </c>
      <c r="H9" s="106">
        <v>0</v>
      </c>
    </row>
    <row r="10" spans="1:8" ht="16.7" customHeight="1" x14ac:dyDescent="0.2">
      <c r="A10" s="134" t="s">
        <v>267</v>
      </c>
      <c r="B10" s="103" t="s">
        <v>252</v>
      </c>
      <c r="C10" s="137" t="s">
        <v>253</v>
      </c>
      <c r="D10" s="138"/>
      <c r="E10" s="95" t="s">
        <v>254</v>
      </c>
      <c r="F10" s="88" t="s">
        <v>253</v>
      </c>
      <c r="G10" s="96" t="s">
        <v>254</v>
      </c>
      <c r="H10" s="88" t="s">
        <v>253</v>
      </c>
    </row>
    <row r="11" spans="1:8" ht="16.7" customHeight="1" x14ac:dyDescent="0.2">
      <c r="A11" s="135"/>
      <c r="B11" s="80" t="s">
        <v>255</v>
      </c>
      <c r="C11" s="115"/>
      <c r="D11" s="116"/>
      <c r="E11" s="195"/>
      <c r="F11" s="197"/>
      <c r="G11" s="195"/>
      <c r="H11" s="197"/>
    </row>
    <row r="12" spans="1:8" ht="16.7" customHeight="1" x14ac:dyDescent="0.2">
      <c r="A12" s="135"/>
      <c r="B12" s="80" t="s">
        <v>256</v>
      </c>
      <c r="C12" s="115"/>
      <c r="D12" s="116"/>
      <c r="E12" s="196"/>
      <c r="F12" s="198"/>
      <c r="G12" s="196"/>
      <c r="H12" s="198"/>
    </row>
    <row r="13" spans="1:8" ht="16.7" customHeight="1" x14ac:dyDescent="0.2">
      <c r="A13" s="135"/>
      <c r="B13" s="80" t="s">
        <v>241</v>
      </c>
      <c r="C13" s="115"/>
      <c r="D13" s="116"/>
      <c r="E13" s="195"/>
      <c r="F13" s="197"/>
      <c r="G13" s="195"/>
      <c r="H13" s="197"/>
    </row>
    <row r="14" spans="1:8" ht="16.7" customHeight="1" x14ac:dyDescent="0.2">
      <c r="A14" s="135"/>
      <c r="B14" s="111"/>
      <c r="C14" s="115"/>
      <c r="D14" s="116"/>
      <c r="E14" s="196"/>
      <c r="F14" s="198"/>
      <c r="G14" s="196"/>
      <c r="H14" s="198"/>
    </row>
    <row r="15" spans="1:8" ht="16.7" customHeight="1" thickBot="1" x14ac:dyDescent="0.25">
      <c r="A15" s="136"/>
      <c r="B15" s="104" t="s">
        <v>257</v>
      </c>
      <c r="C15" s="191">
        <f>SUM(C11:D14)</f>
        <v>0</v>
      </c>
      <c r="D15" s="192"/>
      <c r="E15" s="81"/>
      <c r="F15" s="89"/>
      <c r="G15" s="97"/>
      <c r="H15" s="89"/>
    </row>
    <row r="16" spans="1:8" ht="16.7" customHeight="1" x14ac:dyDescent="0.2">
      <c r="A16" s="124" t="s">
        <v>268</v>
      </c>
      <c r="B16" s="140" t="s">
        <v>258</v>
      </c>
      <c r="C16" s="140"/>
      <c r="D16" s="140"/>
      <c r="E16" s="140"/>
      <c r="F16" s="140"/>
      <c r="G16" s="140"/>
      <c r="H16" s="141"/>
    </row>
    <row r="17" spans="1:8" ht="16.7" customHeight="1" x14ac:dyDescent="0.2">
      <c r="A17" s="139"/>
      <c r="B17" s="142"/>
      <c r="C17" s="143"/>
      <c r="D17" s="143"/>
      <c r="E17" s="143"/>
      <c r="F17" s="143"/>
      <c r="G17" s="143"/>
      <c r="H17" s="144"/>
    </row>
    <row r="18" spans="1:8" ht="16.7" customHeight="1" x14ac:dyDescent="0.2">
      <c r="A18" s="139"/>
      <c r="B18" s="117"/>
      <c r="C18" s="145"/>
      <c r="D18" s="145"/>
      <c r="E18" s="145"/>
      <c r="F18" s="145"/>
      <c r="G18" s="145"/>
      <c r="H18" s="146"/>
    </row>
    <row r="19" spans="1:8" ht="16.7" customHeight="1" x14ac:dyDescent="0.2">
      <c r="A19" s="139"/>
      <c r="B19" s="117"/>
      <c r="C19" s="145"/>
      <c r="D19" s="145"/>
      <c r="E19" s="145"/>
      <c r="F19" s="145"/>
      <c r="G19" s="145"/>
      <c r="H19" s="146"/>
    </row>
    <row r="20" spans="1:8" ht="16.7" customHeight="1" x14ac:dyDescent="0.2">
      <c r="A20" s="139"/>
      <c r="B20" s="117"/>
      <c r="C20" s="145"/>
      <c r="D20" s="145"/>
      <c r="E20" s="145"/>
      <c r="F20" s="145"/>
      <c r="G20" s="145"/>
      <c r="H20" s="146"/>
    </row>
    <row r="21" spans="1:8" ht="16.7" customHeight="1" x14ac:dyDescent="0.2">
      <c r="A21" s="139"/>
      <c r="B21" s="117"/>
      <c r="C21" s="118"/>
      <c r="D21" s="118"/>
      <c r="E21" s="118"/>
      <c r="F21" s="118"/>
      <c r="G21" s="118"/>
      <c r="H21" s="119"/>
    </row>
    <row r="22" spans="1:8" ht="16.7" customHeight="1" x14ac:dyDescent="0.2">
      <c r="A22" s="139"/>
      <c r="B22" s="117"/>
      <c r="C22" s="118"/>
      <c r="D22" s="118"/>
      <c r="E22" s="118"/>
      <c r="F22" s="118"/>
      <c r="G22" s="118"/>
      <c r="H22" s="119"/>
    </row>
    <row r="23" spans="1:8" ht="16.7" customHeight="1" x14ac:dyDescent="0.2">
      <c r="A23" s="139"/>
      <c r="B23" s="117"/>
      <c r="C23" s="118"/>
      <c r="D23" s="118"/>
      <c r="E23" s="118"/>
      <c r="F23" s="118"/>
      <c r="G23" s="118"/>
      <c r="H23" s="119"/>
    </row>
    <row r="24" spans="1:8" ht="16.7" customHeight="1" x14ac:dyDescent="0.2">
      <c r="A24" s="139"/>
      <c r="B24" s="117"/>
      <c r="C24" s="118"/>
      <c r="D24" s="118"/>
      <c r="E24" s="118"/>
      <c r="F24" s="118"/>
      <c r="G24" s="118"/>
      <c r="H24" s="119"/>
    </row>
    <row r="25" spans="1:8" ht="16.7" customHeight="1" x14ac:dyDescent="0.2">
      <c r="A25" s="139"/>
      <c r="B25" s="117"/>
      <c r="C25" s="118"/>
      <c r="D25" s="118"/>
      <c r="E25" s="118"/>
      <c r="F25" s="118"/>
      <c r="G25" s="118"/>
      <c r="H25" s="119"/>
    </row>
    <row r="26" spans="1:8" ht="16.7" customHeight="1" x14ac:dyDescent="0.2">
      <c r="A26" s="139"/>
      <c r="B26" s="117"/>
      <c r="C26" s="118"/>
      <c r="D26" s="118"/>
      <c r="E26" s="118"/>
      <c r="F26" s="118"/>
      <c r="G26" s="118"/>
      <c r="H26" s="119"/>
    </row>
    <row r="27" spans="1:8" ht="16.7" customHeight="1" x14ac:dyDescent="0.2">
      <c r="A27" s="139"/>
      <c r="B27" s="117"/>
      <c r="C27" s="118"/>
      <c r="D27" s="118"/>
      <c r="E27" s="118"/>
      <c r="F27" s="118"/>
      <c r="G27" s="118"/>
      <c r="H27" s="119"/>
    </row>
    <row r="28" spans="1:8" ht="16.7" customHeight="1" x14ac:dyDescent="0.2">
      <c r="A28" s="139"/>
      <c r="B28" s="117"/>
      <c r="C28" s="118"/>
      <c r="D28" s="118"/>
      <c r="E28" s="118"/>
      <c r="F28" s="118"/>
      <c r="G28" s="118"/>
      <c r="H28" s="119"/>
    </row>
    <row r="29" spans="1:8" ht="16.7" customHeight="1" x14ac:dyDescent="0.2">
      <c r="A29" s="139"/>
      <c r="B29" s="117"/>
      <c r="C29" s="118"/>
      <c r="D29" s="118"/>
      <c r="E29" s="118"/>
      <c r="F29" s="118"/>
      <c r="G29" s="118"/>
      <c r="H29" s="119"/>
    </row>
    <row r="30" spans="1:8" ht="16.7" customHeight="1" thickBot="1" x14ac:dyDescent="0.25">
      <c r="A30" s="125"/>
      <c r="B30" s="199"/>
      <c r="C30" s="200"/>
      <c r="D30" s="200"/>
      <c r="E30" s="200"/>
      <c r="F30" s="200"/>
      <c r="G30" s="200"/>
      <c r="H30" s="201"/>
    </row>
    <row r="31" spans="1:8" ht="16.7" customHeight="1" x14ac:dyDescent="0.2">
      <c r="A31" s="174" t="s">
        <v>269</v>
      </c>
      <c r="B31" s="177" t="s">
        <v>259</v>
      </c>
      <c r="C31" s="178"/>
      <c r="D31" s="178"/>
      <c r="E31" s="179"/>
      <c r="F31" s="177" t="s">
        <v>259</v>
      </c>
      <c r="G31" s="178"/>
      <c r="H31" s="180"/>
    </row>
    <row r="32" spans="1:8" ht="16.7" customHeight="1" x14ac:dyDescent="0.2">
      <c r="A32" s="175"/>
      <c r="B32" s="158"/>
      <c r="C32" s="185"/>
      <c r="D32" s="185"/>
      <c r="E32" s="162"/>
      <c r="F32" s="186"/>
      <c r="G32" s="187"/>
      <c r="H32" s="188"/>
    </row>
    <row r="33" spans="1:8" ht="16.7" customHeight="1" x14ac:dyDescent="0.2">
      <c r="A33" s="175"/>
      <c r="B33" s="158"/>
      <c r="C33" s="185"/>
      <c r="D33" s="185"/>
      <c r="E33" s="162"/>
      <c r="F33" s="158"/>
      <c r="G33" s="159"/>
      <c r="H33" s="189"/>
    </row>
    <row r="34" spans="1:8" ht="16.7" customHeight="1" x14ac:dyDescent="0.2">
      <c r="A34" s="175"/>
      <c r="B34" s="158"/>
      <c r="C34" s="185"/>
      <c r="D34" s="185"/>
      <c r="E34" s="162"/>
      <c r="F34" s="158"/>
      <c r="G34" s="159"/>
      <c r="H34" s="189"/>
    </row>
    <row r="35" spans="1:8" ht="16.7" customHeight="1" thickBot="1" x14ac:dyDescent="0.25">
      <c r="A35" s="176"/>
      <c r="B35" s="161"/>
      <c r="C35" s="185"/>
      <c r="D35" s="185"/>
      <c r="E35" s="162"/>
      <c r="F35" s="161"/>
      <c r="G35" s="185"/>
      <c r="H35" s="190"/>
    </row>
    <row r="36" spans="1:8" ht="16.7" customHeight="1" x14ac:dyDescent="0.2">
      <c r="A36" s="150" t="s">
        <v>193</v>
      </c>
      <c r="B36" s="153" t="s">
        <v>260</v>
      </c>
      <c r="C36" s="154"/>
      <c r="D36" s="154"/>
      <c r="E36" s="155"/>
      <c r="F36" s="153" t="s">
        <v>261</v>
      </c>
      <c r="G36" s="155"/>
      <c r="H36" s="107" t="s">
        <v>0</v>
      </c>
    </row>
    <row r="37" spans="1:8" ht="16.7" customHeight="1" x14ac:dyDescent="0.2">
      <c r="A37" s="151"/>
      <c r="B37" s="156"/>
      <c r="C37" s="157"/>
      <c r="D37" s="157"/>
      <c r="E37" s="157"/>
      <c r="F37" s="157"/>
      <c r="G37" s="157"/>
      <c r="H37" s="98"/>
    </row>
    <row r="38" spans="1:8" ht="16.7" customHeight="1" x14ac:dyDescent="0.2">
      <c r="A38" s="151"/>
      <c r="B38" s="156"/>
      <c r="C38" s="157"/>
      <c r="D38" s="157"/>
      <c r="E38" s="157"/>
      <c r="F38" s="157"/>
      <c r="G38" s="157"/>
      <c r="H38" s="99"/>
    </row>
    <row r="39" spans="1:8" ht="16.7" customHeight="1" x14ac:dyDescent="0.2">
      <c r="A39" s="151"/>
      <c r="B39" s="158"/>
      <c r="C39" s="159"/>
      <c r="D39" s="159"/>
      <c r="E39" s="160"/>
      <c r="F39" s="161"/>
      <c r="G39" s="162"/>
      <c r="H39" s="99"/>
    </row>
    <row r="40" spans="1:8" ht="16.7" customHeight="1" thickBot="1" x14ac:dyDescent="0.25">
      <c r="A40" s="152"/>
      <c r="B40" s="163"/>
      <c r="C40" s="164"/>
      <c r="D40" s="164"/>
      <c r="E40" s="164"/>
      <c r="F40" s="164"/>
      <c r="G40" s="164"/>
      <c r="H40" s="100"/>
    </row>
    <row r="41" spans="1:8" ht="16.7" customHeight="1" x14ac:dyDescent="0.2">
      <c r="A41" s="134" t="s">
        <v>270</v>
      </c>
      <c r="B41" s="182"/>
      <c r="C41" s="183"/>
      <c r="D41" s="183"/>
      <c r="E41" s="183"/>
      <c r="F41" s="183"/>
      <c r="G41" s="183"/>
      <c r="H41" s="184"/>
    </row>
    <row r="42" spans="1:8" ht="16.7" customHeight="1" x14ac:dyDescent="0.2">
      <c r="A42" s="135"/>
      <c r="B42" s="117"/>
      <c r="C42" s="145"/>
      <c r="D42" s="145"/>
      <c r="E42" s="145"/>
      <c r="F42" s="145"/>
      <c r="G42" s="145"/>
      <c r="H42" s="146"/>
    </row>
    <row r="43" spans="1:8" ht="16.7" customHeight="1" x14ac:dyDescent="0.2">
      <c r="A43" s="135"/>
      <c r="B43" s="117"/>
      <c r="C43" s="145"/>
      <c r="D43" s="145"/>
      <c r="E43" s="145"/>
      <c r="F43" s="145"/>
      <c r="G43" s="145"/>
      <c r="H43" s="146"/>
    </row>
    <row r="44" spans="1:8" ht="16.7" customHeight="1" thickBot="1" x14ac:dyDescent="0.25">
      <c r="A44" s="136"/>
      <c r="B44" s="165"/>
      <c r="C44" s="166"/>
      <c r="D44" s="166"/>
      <c r="E44" s="166"/>
      <c r="F44" s="166"/>
      <c r="G44" s="166"/>
      <c r="H44" s="167"/>
    </row>
    <row r="45" spans="1:8" ht="24" customHeight="1" x14ac:dyDescent="0.2">
      <c r="A45" s="90"/>
      <c r="B45" s="91" t="s">
        <v>262</v>
      </c>
      <c r="C45" s="91"/>
      <c r="D45" s="90"/>
      <c r="E45" s="91"/>
      <c r="F45" s="91"/>
      <c r="G45" s="92"/>
      <c r="H45" s="92"/>
    </row>
    <row r="46" spans="1:8" ht="16.7" customHeight="1" x14ac:dyDescent="0.2">
      <c r="A46" s="92"/>
      <c r="B46" s="108" t="s">
        <v>263</v>
      </c>
      <c r="C46" s="147"/>
      <c r="D46" s="147"/>
      <c r="E46" s="90"/>
      <c r="F46" s="108" t="s">
        <v>264</v>
      </c>
      <c r="G46" s="148"/>
      <c r="H46" s="148"/>
    </row>
    <row r="47" spans="1:8" ht="16.7" customHeight="1" x14ac:dyDescent="0.2">
      <c r="A47" s="93"/>
      <c r="B47" s="93"/>
      <c r="C47" s="149" t="s">
        <v>265</v>
      </c>
      <c r="D47" s="149"/>
      <c r="E47" s="92"/>
      <c r="F47" s="92"/>
      <c r="G47" s="149" t="s">
        <v>266</v>
      </c>
      <c r="H47" s="149"/>
    </row>
  </sheetData>
  <sheetProtection algorithmName="SHA-512" hashValue="CYER/RGE6TiyEJMXtwo0TJbu6+dqG1wfR3+tlGw0DgYxl/Fb0x6ah0r4p4BgplGWuKUmlbcwGRxxK1A0KLns+Q==" saltValue="CsDxVFXfk1wJYdb2TGLsZw==" spinCount="100000" sheet="1" objects="1" selectLockedCells="1"/>
  <mergeCells count="77">
    <mergeCell ref="C46:D46"/>
    <mergeCell ref="G46:H46"/>
    <mergeCell ref="C47:D47"/>
    <mergeCell ref="G47:H47"/>
    <mergeCell ref="B40:E40"/>
    <mergeCell ref="F40:G40"/>
    <mergeCell ref="F33:H33"/>
    <mergeCell ref="B34:E34"/>
    <mergeCell ref="F34:H34"/>
    <mergeCell ref="B35:E35"/>
    <mergeCell ref="A41:A44"/>
    <mergeCell ref="B41:H41"/>
    <mergeCell ref="B42:H42"/>
    <mergeCell ref="B43:H43"/>
    <mergeCell ref="B44:H44"/>
    <mergeCell ref="B29:H29"/>
    <mergeCell ref="A36:A40"/>
    <mergeCell ref="B36:E36"/>
    <mergeCell ref="F36:G36"/>
    <mergeCell ref="B37:E37"/>
    <mergeCell ref="F37:G37"/>
    <mergeCell ref="B38:E38"/>
    <mergeCell ref="F38:G38"/>
    <mergeCell ref="B39:E39"/>
    <mergeCell ref="F39:G39"/>
    <mergeCell ref="A31:A35"/>
    <mergeCell ref="B31:E31"/>
    <mergeCell ref="F31:H31"/>
    <mergeCell ref="B32:E32"/>
    <mergeCell ref="F32:H32"/>
    <mergeCell ref="B33:E33"/>
    <mergeCell ref="B30:H30"/>
    <mergeCell ref="F35:H35"/>
    <mergeCell ref="A16:A30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H11:H12"/>
    <mergeCell ref="C12:D12"/>
    <mergeCell ref="C13:D13"/>
    <mergeCell ref="E13:E14"/>
    <mergeCell ref="F13:F14"/>
    <mergeCell ref="G13:G14"/>
    <mergeCell ref="H13:H14"/>
    <mergeCell ref="C14:D14"/>
    <mergeCell ref="G11:G12"/>
    <mergeCell ref="A10:A15"/>
    <mergeCell ref="C10:D10"/>
    <mergeCell ref="C11:D11"/>
    <mergeCell ref="E11:E12"/>
    <mergeCell ref="F11:F12"/>
    <mergeCell ref="C15:D15"/>
    <mergeCell ref="A8:A9"/>
    <mergeCell ref="B8:E8"/>
    <mergeCell ref="F8:F9"/>
    <mergeCell ref="B9:E9"/>
    <mergeCell ref="A1:C1"/>
    <mergeCell ref="D1:F1"/>
    <mergeCell ref="A2:B2"/>
    <mergeCell ref="C2:F2"/>
    <mergeCell ref="A3:B3"/>
    <mergeCell ref="C3:F3"/>
    <mergeCell ref="A4:B4"/>
    <mergeCell ref="A5:B5"/>
    <mergeCell ref="A6:B6"/>
    <mergeCell ref="C6:F6"/>
    <mergeCell ref="C4:D4"/>
  </mergeCells>
  <pageMargins left="0.59055118110236227" right="0.47244094488188981" top="0.39370078740157483" bottom="0.39370078740157483" header="0.51181102362204722" footer="0.31496062992125984"/>
  <pageSetup paperSize="9" orientation="portrait" r:id="rId1"/>
  <headerFooter alignWithMargins="0">
    <oddFooter>&amp;RSeite &amp;P von &amp;N</oddFooter>
  </headerFooter>
  <drawing r:id="rId2"/>
  <legacyDrawing r:id="rId3"/>
  <controls>
    <mc:AlternateContent xmlns:mc="http://schemas.openxmlformats.org/markup-compatibility/2006">
      <mc:Choice Requires="x14">
        <control shapeId="7190" r:id="rId4" name="ComboBox8">
          <controlPr defaultSize="0" autoLine="0" listFillRange="Geräte_Maschienen!A1:A113" r:id="rId5">
            <anchor moveWithCells="1">
              <from>
                <xdr:col>5</xdr:col>
                <xdr:colOff>19050</xdr:colOff>
                <xdr:row>34</xdr:row>
                <xdr:rowOff>9525</xdr:rowOff>
              </from>
              <to>
                <xdr:col>7</xdr:col>
                <xdr:colOff>876300</xdr:colOff>
                <xdr:row>34</xdr:row>
                <xdr:rowOff>190500</xdr:rowOff>
              </to>
            </anchor>
          </controlPr>
        </control>
      </mc:Choice>
      <mc:Fallback>
        <control shapeId="7190" r:id="rId4" name="ComboBox8"/>
      </mc:Fallback>
    </mc:AlternateContent>
    <mc:AlternateContent xmlns:mc="http://schemas.openxmlformats.org/markup-compatibility/2006">
      <mc:Choice Requires="x14">
        <control shapeId="7189" r:id="rId6" name="ComboBox7">
          <controlPr defaultSize="0" autoLine="0" listFillRange="Geräte_Maschienen!A1:A113" r:id="rId7">
            <anchor moveWithCells="1">
              <from>
                <xdr:col>1</xdr:col>
                <xdr:colOff>19050</xdr:colOff>
                <xdr:row>34</xdr:row>
                <xdr:rowOff>9525</xdr:rowOff>
              </from>
              <to>
                <xdr:col>4</xdr:col>
                <xdr:colOff>1190625</xdr:colOff>
                <xdr:row>34</xdr:row>
                <xdr:rowOff>190500</xdr:rowOff>
              </to>
            </anchor>
          </controlPr>
        </control>
      </mc:Choice>
      <mc:Fallback>
        <control shapeId="7189" r:id="rId6" name="ComboBox7"/>
      </mc:Fallback>
    </mc:AlternateContent>
    <mc:AlternateContent xmlns:mc="http://schemas.openxmlformats.org/markup-compatibility/2006">
      <mc:Choice Requires="x14">
        <control shapeId="7188" r:id="rId8" name="ComboBox5">
          <controlPr defaultSize="0" autoLine="0" listFillRange="Geräte_Maschienen!A1:A113" r:id="rId5">
            <anchor moveWithCells="1">
              <from>
                <xdr:col>5</xdr:col>
                <xdr:colOff>19050</xdr:colOff>
                <xdr:row>33</xdr:row>
                <xdr:rowOff>9525</xdr:rowOff>
              </from>
              <to>
                <xdr:col>7</xdr:col>
                <xdr:colOff>876300</xdr:colOff>
                <xdr:row>33</xdr:row>
                <xdr:rowOff>190500</xdr:rowOff>
              </to>
            </anchor>
          </controlPr>
        </control>
      </mc:Choice>
      <mc:Fallback>
        <control shapeId="7188" r:id="rId8" name="ComboBox5"/>
      </mc:Fallback>
    </mc:AlternateContent>
    <mc:AlternateContent xmlns:mc="http://schemas.openxmlformats.org/markup-compatibility/2006">
      <mc:Choice Requires="x14">
        <control shapeId="7187" r:id="rId9" name="ComboBox6">
          <controlPr defaultSize="0" autoLine="0" listFillRange="Geräte_Maschienen!A1:A113" r:id="rId7">
            <anchor moveWithCells="1">
              <from>
                <xdr:col>1</xdr:col>
                <xdr:colOff>19050</xdr:colOff>
                <xdr:row>33</xdr:row>
                <xdr:rowOff>9525</xdr:rowOff>
              </from>
              <to>
                <xdr:col>4</xdr:col>
                <xdr:colOff>1190625</xdr:colOff>
                <xdr:row>33</xdr:row>
                <xdr:rowOff>190500</xdr:rowOff>
              </to>
            </anchor>
          </controlPr>
        </control>
      </mc:Choice>
      <mc:Fallback>
        <control shapeId="7187" r:id="rId9" name="ComboBox6"/>
      </mc:Fallback>
    </mc:AlternateContent>
    <mc:AlternateContent xmlns:mc="http://schemas.openxmlformats.org/markup-compatibility/2006">
      <mc:Choice Requires="x14">
        <control shapeId="7186" r:id="rId10" name="ComboBox4">
          <controlPr defaultSize="0" autoLine="0" listFillRange="Geräte_Maschienen!A1:A113" r:id="rId5">
            <anchor moveWithCells="1">
              <from>
                <xdr:col>5</xdr:col>
                <xdr:colOff>19050</xdr:colOff>
                <xdr:row>32</xdr:row>
                <xdr:rowOff>9525</xdr:rowOff>
              </from>
              <to>
                <xdr:col>7</xdr:col>
                <xdr:colOff>876300</xdr:colOff>
                <xdr:row>32</xdr:row>
                <xdr:rowOff>190500</xdr:rowOff>
              </to>
            </anchor>
          </controlPr>
        </control>
      </mc:Choice>
      <mc:Fallback>
        <control shapeId="7186" r:id="rId10" name="ComboBox4"/>
      </mc:Fallback>
    </mc:AlternateContent>
    <mc:AlternateContent xmlns:mc="http://schemas.openxmlformats.org/markup-compatibility/2006">
      <mc:Choice Requires="x14">
        <control shapeId="7185" r:id="rId11" name="ComboBox3">
          <controlPr defaultSize="0" autoLine="0" listFillRange="Geräte_Maschienen!A1:A113" r:id="rId7">
            <anchor moveWithCells="1">
              <from>
                <xdr:col>1</xdr:col>
                <xdr:colOff>19050</xdr:colOff>
                <xdr:row>32</xdr:row>
                <xdr:rowOff>9525</xdr:rowOff>
              </from>
              <to>
                <xdr:col>4</xdr:col>
                <xdr:colOff>1190625</xdr:colOff>
                <xdr:row>32</xdr:row>
                <xdr:rowOff>190500</xdr:rowOff>
              </to>
            </anchor>
          </controlPr>
        </control>
      </mc:Choice>
      <mc:Fallback>
        <control shapeId="7185" r:id="rId11" name="ComboBox3"/>
      </mc:Fallback>
    </mc:AlternateContent>
    <mc:AlternateContent xmlns:mc="http://schemas.openxmlformats.org/markup-compatibility/2006">
      <mc:Choice Requires="x14">
        <control shapeId="7184" r:id="rId12" name="ComboBox2">
          <controlPr defaultSize="0" autoLine="0" autoPict="0" listFillRange="Geräte_Maschienen!A1:A113" r:id="rId5">
            <anchor moveWithCells="1">
              <from>
                <xdr:col>5</xdr:col>
                <xdr:colOff>19050</xdr:colOff>
                <xdr:row>31</xdr:row>
                <xdr:rowOff>9525</xdr:rowOff>
              </from>
              <to>
                <xdr:col>7</xdr:col>
                <xdr:colOff>876300</xdr:colOff>
                <xdr:row>31</xdr:row>
                <xdr:rowOff>200025</xdr:rowOff>
              </to>
            </anchor>
          </controlPr>
        </control>
      </mc:Choice>
      <mc:Fallback>
        <control shapeId="7184" r:id="rId12" name="ComboBox2"/>
      </mc:Fallback>
    </mc:AlternateContent>
    <mc:AlternateContent xmlns:mc="http://schemas.openxmlformats.org/markup-compatibility/2006">
      <mc:Choice Requires="x14">
        <control shapeId="7183" r:id="rId13" name="ComboBox1">
          <controlPr defaultSize="0" autoLine="0" listFillRange="Geräte_Maschienen!A1:A113" r:id="rId7">
            <anchor moveWithCells="1">
              <from>
                <xdr:col>1</xdr:col>
                <xdr:colOff>19050</xdr:colOff>
                <xdr:row>31</xdr:row>
                <xdr:rowOff>9525</xdr:rowOff>
              </from>
              <to>
                <xdr:col>4</xdr:col>
                <xdr:colOff>1190625</xdr:colOff>
                <xdr:row>31</xdr:row>
                <xdr:rowOff>190500</xdr:rowOff>
              </to>
            </anchor>
          </controlPr>
        </control>
      </mc:Choice>
      <mc:Fallback>
        <control shapeId="7183" r:id="rId13" name="ComboBox1"/>
      </mc:Fallback>
    </mc:AlternateContent>
    <mc:AlternateContent xmlns:mc="http://schemas.openxmlformats.org/markup-compatibility/2006">
      <mc:Choice Requires="x14">
        <control shapeId="7182" r:id="rId14" name="Button 14">
          <controlPr defaultSize="0" print="0" autoFill="0" autoPict="0" macro="[0]!PDF">
            <anchor moveWithCells="1" sizeWithCells="1">
              <from>
                <xdr:col>9</xdr:col>
                <xdr:colOff>9525</xdr:colOff>
                <xdr:row>0</xdr:row>
                <xdr:rowOff>28575</xdr:rowOff>
              </from>
              <to>
                <xdr:col>9</xdr:col>
                <xdr:colOff>685800</xdr:colOff>
                <xdr:row>2</xdr:row>
                <xdr:rowOff>180975</xdr:rowOff>
              </to>
            </anchor>
          </controlPr>
        </control>
      </mc:Choice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8"/>
  <dimension ref="A1:H47"/>
  <sheetViews>
    <sheetView showWhiteSpace="0" view="pageLayout" zoomScale="115" zoomScaleNormal="100" zoomScalePageLayoutView="115" workbookViewId="0">
      <selection activeCell="C5" sqref="C5"/>
    </sheetView>
  </sheetViews>
  <sheetFormatPr baseColWidth="10" defaultColWidth="11.42578125" defaultRowHeight="12.75" x14ac:dyDescent="0.2"/>
  <cols>
    <col min="1" max="1" width="3.85546875" style="1" customWidth="1"/>
    <col min="2" max="2" width="12.42578125" style="1" customWidth="1"/>
    <col min="3" max="3" width="9.85546875" style="1" customWidth="1"/>
    <col min="4" max="4" width="7.5703125" style="1" customWidth="1"/>
    <col min="5" max="5" width="17.42578125" style="1" customWidth="1"/>
    <col min="6" max="6" width="9.42578125" style="1" customWidth="1"/>
    <col min="7" max="7" width="17.42578125" style="1" bestFit="1" customWidth="1"/>
    <col min="8" max="8" width="12.5703125" style="1" customWidth="1"/>
    <col min="9" max="16384" width="11.42578125" style="1"/>
  </cols>
  <sheetData>
    <row r="1" spans="1:8" ht="18.399999999999999" customHeight="1" x14ac:dyDescent="0.2">
      <c r="A1" s="120" t="s">
        <v>242</v>
      </c>
      <c r="B1" s="120"/>
      <c r="C1" s="120"/>
      <c r="D1" s="120">
        <f>Montag!$D$1+4</f>
        <v>4</v>
      </c>
      <c r="E1" s="120"/>
      <c r="F1" s="120"/>
      <c r="G1" s="82"/>
      <c r="H1" s="82"/>
    </row>
    <row r="2" spans="1:8" ht="16.7" customHeight="1" x14ac:dyDescent="0.2">
      <c r="A2" s="122" t="s">
        <v>243</v>
      </c>
      <c r="B2" s="122"/>
      <c r="C2" s="193">
        <f>Montag!C2</f>
        <v>0</v>
      </c>
      <c r="D2" s="193"/>
      <c r="E2" s="193"/>
      <c r="F2" s="193"/>
      <c r="G2" s="82"/>
      <c r="H2" s="82"/>
    </row>
    <row r="3" spans="1:8" ht="16.7" customHeight="1" x14ac:dyDescent="0.2">
      <c r="A3" s="122" t="s">
        <v>1</v>
      </c>
      <c r="B3" s="122"/>
      <c r="C3" s="193">
        <f>Montag!C3</f>
        <v>0</v>
      </c>
      <c r="D3" s="193"/>
      <c r="E3" s="193"/>
      <c r="F3" s="193"/>
      <c r="G3" s="82"/>
      <c r="H3" s="82"/>
    </row>
    <row r="4" spans="1:8" ht="16.7" customHeight="1" x14ac:dyDescent="0.2">
      <c r="A4" s="122" t="s">
        <v>244</v>
      </c>
      <c r="B4" s="122"/>
      <c r="C4" s="194">
        <f>Montag!C4+4</f>
        <v>4</v>
      </c>
      <c r="D4" s="194"/>
      <c r="E4" s="109" t="s">
        <v>271</v>
      </c>
      <c r="F4" s="110">
        <f>WEEKNUM(C4,21)</f>
        <v>1</v>
      </c>
      <c r="G4" s="82"/>
      <c r="H4" s="82"/>
    </row>
    <row r="5" spans="1:8" ht="16.7" customHeight="1" x14ac:dyDescent="0.2">
      <c r="A5" s="122" t="s">
        <v>245</v>
      </c>
      <c r="B5" s="122"/>
      <c r="C5" s="94"/>
      <c r="D5" s="83" t="s">
        <v>246</v>
      </c>
      <c r="E5" s="94"/>
      <c r="F5" s="84"/>
      <c r="G5" s="82"/>
      <c r="H5" s="82"/>
    </row>
    <row r="6" spans="1:8" ht="16.7" customHeight="1" x14ac:dyDescent="0.2">
      <c r="A6" s="122" t="s">
        <v>247</v>
      </c>
      <c r="B6" s="122"/>
      <c r="C6" s="193" t="str">
        <f>Montag!C6</f>
        <v>Beham</v>
      </c>
      <c r="D6" s="193"/>
      <c r="E6" s="193"/>
      <c r="F6" s="193"/>
      <c r="G6" s="82"/>
      <c r="H6" s="82"/>
    </row>
    <row r="7" spans="1:8" ht="6.95" customHeight="1" thickBot="1" x14ac:dyDescent="0.25">
      <c r="A7" s="85"/>
      <c r="B7" s="85"/>
      <c r="C7" s="85"/>
      <c r="D7" s="85"/>
      <c r="E7" s="86"/>
      <c r="F7" s="87"/>
      <c r="G7" s="82"/>
      <c r="H7" s="82"/>
    </row>
    <row r="8" spans="1:8" ht="16.7" customHeight="1" x14ac:dyDescent="0.2">
      <c r="A8" s="124" t="s">
        <v>248</v>
      </c>
      <c r="B8" s="126"/>
      <c r="C8" s="127"/>
      <c r="D8" s="127"/>
      <c r="E8" s="128"/>
      <c r="F8" s="129" t="s">
        <v>249</v>
      </c>
      <c r="G8" s="101" t="s">
        <v>250</v>
      </c>
      <c r="H8" s="105">
        <v>0</v>
      </c>
    </row>
    <row r="9" spans="1:8" ht="16.7" customHeight="1" thickBot="1" x14ac:dyDescent="0.25">
      <c r="A9" s="125"/>
      <c r="B9" s="131"/>
      <c r="C9" s="132"/>
      <c r="D9" s="132"/>
      <c r="E9" s="133"/>
      <c r="F9" s="130"/>
      <c r="G9" s="102" t="s">
        <v>251</v>
      </c>
      <c r="H9" s="106">
        <v>0</v>
      </c>
    </row>
    <row r="10" spans="1:8" ht="16.7" customHeight="1" x14ac:dyDescent="0.2">
      <c r="A10" s="134" t="s">
        <v>267</v>
      </c>
      <c r="B10" s="103" t="s">
        <v>252</v>
      </c>
      <c r="C10" s="137" t="s">
        <v>253</v>
      </c>
      <c r="D10" s="138"/>
      <c r="E10" s="95" t="s">
        <v>254</v>
      </c>
      <c r="F10" s="88" t="s">
        <v>253</v>
      </c>
      <c r="G10" s="96" t="s">
        <v>254</v>
      </c>
      <c r="H10" s="88" t="s">
        <v>253</v>
      </c>
    </row>
    <row r="11" spans="1:8" ht="16.7" customHeight="1" x14ac:dyDescent="0.2">
      <c r="A11" s="135"/>
      <c r="B11" s="80" t="s">
        <v>255</v>
      </c>
      <c r="C11" s="115"/>
      <c r="D11" s="116"/>
      <c r="E11" s="195"/>
      <c r="F11" s="197"/>
      <c r="G11" s="195"/>
      <c r="H11" s="197"/>
    </row>
    <row r="12" spans="1:8" ht="16.7" customHeight="1" x14ac:dyDescent="0.2">
      <c r="A12" s="135"/>
      <c r="B12" s="80" t="s">
        <v>256</v>
      </c>
      <c r="C12" s="115"/>
      <c r="D12" s="116"/>
      <c r="E12" s="196"/>
      <c r="F12" s="198"/>
      <c r="G12" s="196"/>
      <c r="H12" s="198"/>
    </row>
    <row r="13" spans="1:8" ht="16.7" customHeight="1" x14ac:dyDescent="0.2">
      <c r="A13" s="135"/>
      <c r="B13" s="80" t="s">
        <v>241</v>
      </c>
      <c r="C13" s="115"/>
      <c r="D13" s="116"/>
      <c r="E13" s="195"/>
      <c r="F13" s="197"/>
      <c r="G13" s="195"/>
      <c r="H13" s="197"/>
    </row>
    <row r="14" spans="1:8" ht="16.7" customHeight="1" x14ac:dyDescent="0.2">
      <c r="A14" s="135"/>
      <c r="B14" s="111"/>
      <c r="C14" s="115"/>
      <c r="D14" s="116"/>
      <c r="E14" s="196"/>
      <c r="F14" s="198"/>
      <c r="G14" s="196"/>
      <c r="H14" s="198"/>
    </row>
    <row r="15" spans="1:8" ht="16.7" customHeight="1" thickBot="1" x14ac:dyDescent="0.25">
      <c r="A15" s="136"/>
      <c r="B15" s="104" t="s">
        <v>257</v>
      </c>
      <c r="C15" s="191">
        <f>SUM(C11:D14)</f>
        <v>0</v>
      </c>
      <c r="D15" s="192"/>
      <c r="E15" s="81"/>
      <c r="F15" s="89"/>
      <c r="G15" s="97"/>
      <c r="H15" s="89"/>
    </row>
    <row r="16" spans="1:8" ht="16.7" customHeight="1" x14ac:dyDescent="0.2">
      <c r="A16" s="124" t="s">
        <v>268</v>
      </c>
      <c r="B16" s="140" t="s">
        <v>258</v>
      </c>
      <c r="C16" s="140"/>
      <c r="D16" s="140"/>
      <c r="E16" s="140"/>
      <c r="F16" s="140"/>
      <c r="G16" s="140"/>
      <c r="H16" s="141"/>
    </row>
    <row r="17" spans="1:8" ht="16.7" customHeight="1" x14ac:dyDescent="0.2">
      <c r="A17" s="139"/>
      <c r="B17" s="142"/>
      <c r="C17" s="143"/>
      <c r="D17" s="143"/>
      <c r="E17" s="143"/>
      <c r="F17" s="143"/>
      <c r="G17" s="143"/>
      <c r="H17" s="144"/>
    </row>
    <row r="18" spans="1:8" ht="16.7" customHeight="1" x14ac:dyDescent="0.2">
      <c r="A18" s="139"/>
      <c r="B18" s="117"/>
      <c r="C18" s="145"/>
      <c r="D18" s="145"/>
      <c r="E18" s="145"/>
      <c r="F18" s="145"/>
      <c r="G18" s="145"/>
      <c r="H18" s="146"/>
    </row>
    <row r="19" spans="1:8" ht="16.7" customHeight="1" x14ac:dyDescent="0.2">
      <c r="A19" s="139"/>
      <c r="B19" s="117"/>
      <c r="C19" s="145"/>
      <c r="D19" s="145"/>
      <c r="E19" s="145"/>
      <c r="F19" s="145"/>
      <c r="G19" s="145"/>
      <c r="H19" s="146"/>
    </row>
    <row r="20" spans="1:8" ht="16.7" customHeight="1" x14ac:dyDescent="0.2">
      <c r="A20" s="139"/>
      <c r="B20" s="117"/>
      <c r="C20" s="145"/>
      <c r="D20" s="145"/>
      <c r="E20" s="145"/>
      <c r="F20" s="145"/>
      <c r="G20" s="145"/>
      <c r="H20" s="146"/>
    </row>
    <row r="21" spans="1:8" ht="16.7" customHeight="1" x14ac:dyDescent="0.2">
      <c r="A21" s="139"/>
      <c r="B21" s="117"/>
      <c r="C21" s="118"/>
      <c r="D21" s="118"/>
      <c r="E21" s="118"/>
      <c r="F21" s="118"/>
      <c r="G21" s="118"/>
      <c r="H21" s="119"/>
    </row>
    <row r="22" spans="1:8" ht="16.7" customHeight="1" x14ac:dyDescent="0.2">
      <c r="A22" s="139"/>
      <c r="B22" s="117"/>
      <c r="C22" s="118"/>
      <c r="D22" s="118"/>
      <c r="E22" s="118"/>
      <c r="F22" s="118"/>
      <c r="G22" s="118"/>
      <c r="H22" s="119"/>
    </row>
    <row r="23" spans="1:8" ht="16.7" customHeight="1" x14ac:dyDescent="0.2">
      <c r="A23" s="139"/>
      <c r="B23" s="117"/>
      <c r="C23" s="118"/>
      <c r="D23" s="118"/>
      <c r="E23" s="118"/>
      <c r="F23" s="118"/>
      <c r="G23" s="118"/>
      <c r="H23" s="119"/>
    </row>
    <row r="24" spans="1:8" ht="16.7" customHeight="1" x14ac:dyDescent="0.2">
      <c r="A24" s="139"/>
      <c r="B24" s="117"/>
      <c r="C24" s="118"/>
      <c r="D24" s="118"/>
      <c r="E24" s="118"/>
      <c r="F24" s="118"/>
      <c r="G24" s="118"/>
      <c r="H24" s="119"/>
    </row>
    <row r="25" spans="1:8" ht="16.7" customHeight="1" x14ac:dyDescent="0.2">
      <c r="A25" s="139"/>
      <c r="B25" s="117"/>
      <c r="C25" s="118"/>
      <c r="D25" s="118"/>
      <c r="E25" s="118"/>
      <c r="F25" s="118"/>
      <c r="G25" s="118"/>
      <c r="H25" s="119"/>
    </row>
    <row r="26" spans="1:8" ht="16.7" customHeight="1" x14ac:dyDescent="0.2">
      <c r="A26" s="139"/>
      <c r="B26" s="117"/>
      <c r="C26" s="118"/>
      <c r="D26" s="118"/>
      <c r="E26" s="118"/>
      <c r="F26" s="118"/>
      <c r="G26" s="118"/>
      <c r="H26" s="119"/>
    </row>
    <row r="27" spans="1:8" ht="16.7" customHeight="1" x14ac:dyDescent="0.2">
      <c r="A27" s="139"/>
      <c r="B27" s="117"/>
      <c r="C27" s="118"/>
      <c r="D27" s="118"/>
      <c r="E27" s="118"/>
      <c r="F27" s="118"/>
      <c r="G27" s="118"/>
      <c r="H27" s="119"/>
    </row>
    <row r="28" spans="1:8" ht="16.7" customHeight="1" x14ac:dyDescent="0.2">
      <c r="A28" s="139"/>
      <c r="B28" s="117"/>
      <c r="C28" s="118"/>
      <c r="D28" s="118"/>
      <c r="E28" s="118"/>
      <c r="F28" s="118"/>
      <c r="G28" s="118"/>
      <c r="H28" s="119"/>
    </row>
    <row r="29" spans="1:8" ht="16.7" customHeight="1" x14ac:dyDescent="0.2">
      <c r="A29" s="139"/>
      <c r="B29" s="117"/>
      <c r="C29" s="118"/>
      <c r="D29" s="118"/>
      <c r="E29" s="118"/>
      <c r="F29" s="118"/>
      <c r="G29" s="118"/>
      <c r="H29" s="119"/>
    </row>
    <row r="30" spans="1:8" ht="16.7" customHeight="1" thickBot="1" x14ac:dyDescent="0.25">
      <c r="A30" s="125"/>
      <c r="B30" s="165"/>
      <c r="C30" s="172"/>
      <c r="D30" s="172"/>
      <c r="E30" s="172"/>
      <c r="F30" s="172"/>
      <c r="G30" s="172"/>
      <c r="H30" s="173"/>
    </row>
    <row r="31" spans="1:8" ht="16.7" customHeight="1" x14ac:dyDescent="0.2">
      <c r="A31" s="174" t="s">
        <v>269</v>
      </c>
      <c r="B31" s="177" t="s">
        <v>259</v>
      </c>
      <c r="C31" s="178"/>
      <c r="D31" s="178"/>
      <c r="E31" s="179"/>
      <c r="F31" s="177" t="s">
        <v>259</v>
      </c>
      <c r="G31" s="178"/>
      <c r="H31" s="180"/>
    </row>
    <row r="32" spans="1:8" ht="16.7" customHeight="1" x14ac:dyDescent="0.2">
      <c r="A32" s="175"/>
      <c r="B32" s="158"/>
      <c r="C32" s="185"/>
      <c r="D32" s="185"/>
      <c r="E32" s="162"/>
      <c r="F32" s="186"/>
      <c r="G32" s="187"/>
      <c r="H32" s="188"/>
    </row>
    <row r="33" spans="1:8" ht="16.7" customHeight="1" x14ac:dyDescent="0.2">
      <c r="A33" s="175"/>
      <c r="B33" s="158"/>
      <c r="C33" s="185"/>
      <c r="D33" s="185"/>
      <c r="E33" s="162"/>
      <c r="F33" s="158"/>
      <c r="G33" s="159"/>
      <c r="H33" s="189"/>
    </row>
    <row r="34" spans="1:8" ht="16.7" customHeight="1" x14ac:dyDescent="0.2">
      <c r="A34" s="175"/>
      <c r="B34" s="158"/>
      <c r="C34" s="185"/>
      <c r="D34" s="185"/>
      <c r="E34" s="162"/>
      <c r="F34" s="158"/>
      <c r="G34" s="159"/>
      <c r="H34" s="189"/>
    </row>
    <row r="35" spans="1:8" ht="16.7" customHeight="1" thickBot="1" x14ac:dyDescent="0.25">
      <c r="A35" s="176"/>
      <c r="B35" s="161"/>
      <c r="C35" s="185"/>
      <c r="D35" s="185"/>
      <c r="E35" s="162"/>
      <c r="F35" s="161"/>
      <c r="G35" s="185"/>
      <c r="H35" s="190"/>
    </row>
    <row r="36" spans="1:8" ht="16.7" customHeight="1" x14ac:dyDescent="0.2">
      <c r="A36" s="150" t="s">
        <v>193</v>
      </c>
      <c r="B36" s="153" t="s">
        <v>260</v>
      </c>
      <c r="C36" s="154"/>
      <c r="D36" s="154"/>
      <c r="E36" s="155"/>
      <c r="F36" s="153" t="s">
        <v>261</v>
      </c>
      <c r="G36" s="155"/>
      <c r="H36" s="107" t="s">
        <v>0</v>
      </c>
    </row>
    <row r="37" spans="1:8" ht="16.7" customHeight="1" x14ac:dyDescent="0.2">
      <c r="A37" s="151"/>
      <c r="B37" s="156"/>
      <c r="C37" s="157"/>
      <c r="D37" s="157"/>
      <c r="E37" s="157"/>
      <c r="F37" s="157"/>
      <c r="G37" s="157"/>
      <c r="H37" s="98"/>
    </row>
    <row r="38" spans="1:8" ht="16.7" customHeight="1" x14ac:dyDescent="0.2">
      <c r="A38" s="151"/>
      <c r="B38" s="156"/>
      <c r="C38" s="157"/>
      <c r="D38" s="157"/>
      <c r="E38" s="157"/>
      <c r="F38" s="157"/>
      <c r="G38" s="157"/>
      <c r="H38" s="99"/>
    </row>
    <row r="39" spans="1:8" ht="16.7" customHeight="1" x14ac:dyDescent="0.2">
      <c r="A39" s="151"/>
      <c r="B39" s="158"/>
      <c r="C39" s="159"/>
      <c r="D39" s="159"/>
      <c r="E39" s="160"/>
      <c r="F39" s="161"/>
      <c r="G39" s="162"/>
      <c r="H39" s="99"/>
    </row>
    <row r="40" spans="1:8" ht="16.7" customHeight="1" thickBot="1" x14ac:dyDescent="0.25">
      <c r="A40" s="152"/>
      <c r="B40" s="163"/>
      <c r="C40" s="164"/>
      <c r="D40" s="164"/>
      <c r="E40" s="164"/>
      <c r="F40" s="164"/>
      <c r="G40" s="164"/>
      <c r="H40" s="100"/>
    </row>
    <row r="41" spans="1:8" ht="16.7" customHeight="1" x14ac:dyDescent="0.2">
      <c r="A41" s="134" t="s">
        <v>270</v>
      </c>
      <c r="B41" s="182"/>
      <c r="C41" s="183"/>
      <c r="D41" s="183"/>
      <c r="E41" s="183"/>
      <c r="F41" s="183"/>
      <c r="G41" s="183"/>
      <c r="H41" s="184"/>
    </row>
    <row r="42" spans="1:8" ht="16.7" customHeight="1" x14ac:dyDescent="0.2">
      <c r="A42" s="135"/>
      <c r="B42" s="117"/>
      <c r="C42" s="145"/>
      <c r="D42" s="145"/>
      <c r="E42" s="145"/>
      <c r="F42" s="145"/>
      <c r="G42" s="145"/>
      <c r="H42" s="146"/>
    </row>
    <row r="43" spans="1:8" ht="16.7" customHeight="1" x14ac:dyDescent="0.2">
      <c r="A43" s="135"/>
      <c r="B43" s="117"/>
      <c r="C43" s="145"/>
      <c r="D43" s="145"/>
      <c r="E43" s="145"/>
      <c r="F43" s="145"/>
      <c r="G43" s="145"/>
      <c r="H43" s="146"/>
    </row>
    <row r="44" spans="1:8" ht="16.7" customHeight="1" thickBot="1" x14ac:dyDescent="0.25">
      <c r="A44" s="136"/>
      <c r="B44" s="165"/>
      <c r="C44" s="166"/>
      <c r="D44" s="166"/>
      <c r="E44" s="166"/>
      <c r="F44" s="166"/>
      <c r="G44" s="166"/>
      <c r="H44" s="167"/>
    </row>
    <row r="45" spans="1:8" ht="24" customHeight="1" x14ac:dyDescent="0.2">
      <c r="A45" s="90"/>
      <c r="B45" s="91" t="s">
        <v>262</v>
      </c>
      <c r="C45" s="91"/>
      <c r="D45" s="90"/>
      <c r="E45" s="91"/>
      <c r="F45" s="91"/>
      <c r="G45" s="92"/>
      <c r="H45" s="92"/>
    </row>
    <row r="46" spans="1:8" ht="16.7" customHeight="1" x14ac:dyDescent="0.2">
      <c r="A46" s="92"/>
      <c r="B46" s="108" t="s">
        <v>263</v>
      </c>
      <c r="C46" s="147"/>
      <c r="D46" s="147"/>
      <c r="E46" s="90"/>
      <c r="F46" s="108" t="s">
        <v>264</v>
      </c>
      <c r="G46" s="148"/>
      <c r="H46" s="148"/>
    </row>
    <row r="47" spans="1:8" ht="16.7" customHeight="1" x14ac:dyDescent="0.2">
      <c r="A47" s="93"/>
      <c r="B47" s="93"/>
      <c r="C47" s="149" t="s">
        <v>265</v>
      </c>
      <c r="D47" s="149"/>
      <c r="E47" s="92"/>
      <c r="F47" s="92"/>
      <c r="G47" s="149" t="s">
        <v>266</v>
      </c>
      <c r="H47" s="149"/>
    </row>
  </sheetData>
  <sheetProtection algorithmName="SHA-512" hashValue="XkXdsX9zIL9AfIYhXUJHpyma4I1R42VBo06MRnbZ/skNQDzohQH74UMAuka3AiLaBe4GzZLu2Y8qnwnBzy+HTg==" saltValue="hI3yVGe5axWnFV6ibNh+KA==" spinCount="100000" sheet="1" objects="1" selectLockedCells="1"/>
  <mergeCells count="77">
    <mergeCell ref="C46:D46"/>
    <mergeCell ref="G46:H46"/>
    <mergeCell ref="C47:D47"/>
    <mergeCell ref="G47:H47"/>
    <mergeCell ref="B40:E40"/>
    <mergeCell ref="F40:G40"/>
    <mergeCell ref="F33:H33"/>
    <mergeCell ref="B34:E34"/>
    <mergeCell ref="F34:H34"/>
    <mergeCell ref="B35:E35"/>
    <mergeCell ref="A41:A44"/>
    <mergeCell ref="B41:H41"/>
    <mergeCell ref="B42:H42"/>
    <mergeCell ref="B43:H43"/>
    <mergeCell ref="B44:H44"/>
    <mergeCell ref="B29:H29"/>
    <mergeCell ref="A36:A40"/>
    <mergeCell ref="B36:E36"/>
    <mergeCell ref="F36:G36"/>
    <mergeCell ref="B37:E37"/>
    <mergeCell ref="F37:G37"/>
    <mergeCell ref="B38:E38"/>
    <mergeCell ref="F38:G38"/>
    <mergeCell ref="B39:E39"/>
    <mergeCell ref="F39:G39"/>
    <mergeCell ref="A31:A35"/>
    <mergeCell ref="B31:E31"/>
    <mergeCell ref="F31:H31"/>
    <mergeCell ref="B32:E32"/>
    <mergeCell ref="F32:H32"/>
    <mergeCell ref="B33:E33"/>
    <mergeCell ref="B30:H30"/>
    <mergeCell ref="F35:H35"/>
    <mergeCell ref="A16:A30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H11:H12"/>
    <mergeCell ref="C12:D12"/>
    <mergeCell ref="C13:D13"/>
    <mergeCell ref="E13:E14"/>
    <mergeCell ref="F13:F14"/>
    <mergeCell ref="G13:G14"/>
    <mergeCell ref="H13:H14"/>
    <mergeCell ref="C14:D14"/>
    <mergeCell ref="G11:G12"/>
    <mergeCell ref="A10:A15"/>
    <mergeCell ref="C10:D10"/>
    <mergeCell ref="C11:D11"/>
    <mergeCell ref="E11:E12"/>
    <mergeCell ref="F11:F12"/>
    <mergeCell ref="C15:D15"/>
    <mergeCell ref="A8:A9"/>
    <mergeCell ref="B8:E8"/>
    <mergeCell ref="F8:F9"/>
    <mergeCell ref="B9:E9"/>
    <mergeCell ref="A1:C1"/>
    <mergeCell ref="D1:F1"/>
    <mergeCell ref="A2:B2"/>
    <mergeCell ref="C2:F2"/>
    <mergeCell ref="A3:B3"/>
    <mergeCell ref="C3:F3"/>
    <mergeCell ref="A4:B4"/>
    <mergeCell ref="A5:B5"/>
    <mergeCell ref="A6:B6"/>
    <mergeCell ref="C6:F6"/>
    <mergeCell ref="C4:D4"/>
  </mergeCells>
  <pageMargins left="0.59055118110236227" right="0.47244094488188981" top="0.39370078740157483" bottom="0.39370078740157483" header="0.51181102362204722" footer="0.31496062992125984"/>
  <pageSetup paperSize="9" orientation="portrait" r:id="rId1"/>
  <headerFooter alignWithMargins="0">
    <oddFooter>&amp;RSeite &amp;P von &amp;N</oddFooter>
  </headerFooter>
  <drawing r:id="rId2"/>
  <legacyDrawing r:id="rId3"/>
  <controls>
    <mc:AlternateContent xmlns:mc="http://schemas.openxmlformats.org/markup-compatibility/2006">
      <mc:Choice Requires="x14">
        <control shapeId="8214" r:id="rId4" name="ComboBox8">
          <controlPr defaultSize="0" autoLine="0" listFillRange="Geräte_Maschienen!A1:A113" r:id="rId5">
            <anchor moveWithCells="1">
              <from>
                <xdr:col>5</xdr:col>
                <xdr:colOff>19050</xdr:colOff>
                <xdr:row>34</xdr:row>
                <xdr:rowOff>9525</xdr:rowOff>
              </from>
              <to>
                <xdr:col>7</xdr:col>
                <xdr:colOff>876300</xdr:colOff>
                <xdr:row>34</xdr:row>
                <xdr:rowOff>190500</xdr:rowOff>
              </to>
            </anchor>
          </controlPr>
        </control>
      </mc:Choice>
      <mc:Fallback>
        <control shapeId="8214" r:id="rId4" name="ComboBox8"/>
      </mc:Fallback>
    </mc:AlternateContent>
    <mc:AlternateContent xmlns:mc="http://schemas.openxmlformats.org/markup-compatibility/2006">
      <mc:Choice Requires="x14">
        <control shapeId="8213" r:id="rId6" name="ComboBox7">
          <controlPr defaultSize="0" autoLine="0" listFillRange="Geräte_Maschienen!A1:A113" r:id="rId7">
            <anchor moveWithCells="1">
              <from>
                <xdr:col>1</xdr:col>
                <xdr:colOff>19050</xdr:colOff>
                <xdr:row>34</xdr:row>
                <xdr:rowOff>9525</xdr:rowOff>
              </from>
              <to>
                <xdr:col>4</xdr:col>
                <xdr:colOff>1190625</xdr:colOff>
                <xdr:row>34</xdr:row>
                <xdr:rowOff>190500</xdr:rowOff>
              </to>
            </anchor>
          </controlPr>
        </control>
      </mc:Choice>
      <mc:Fallback>
        <control shapeId="8213" r:id="rId6" name="ComboBox7"/>
      </mc:Fallback>
    </mc:AlternateContent>
    <mc:AlternateContent xmlns:mc="http://schemas.openxmlformats.org/markup-compatibility/2006">
      <mc:Choice Requires="x14">
        <control shapeId="8212" r:id="rId8" name="ComboBox5">
          <controlPr defaultSize="0" autoLine="0" listFillRange="Geräte_Maschienen!A1:A113" r:id="rId5">
            <anchor moveWithCells="1">
              <from>
                <xdr:col>5</xdr:col>
                <xdr:colOff>19050</xdr:colOff>
                <xdr:row>33</xdr:row>
                <xdr:rowOff>9525</xdr:rowOff>
              </from>
              <to>
                <xdr:col>7</xdr:col>
                <xdr:colOff>876300</xdr:colOff>
                <xdr:row>33</xdr:row>
                <xdr:rowOff>190500</xdr:rowOff>
              </to>
            </anchor>
          </controlPr>
        </control>
      </mc:Choice>
      <mc:Fallback>
        <control shapeId="8212" r:id="rId8" name="ComboBox5"/>
      </mc:Fallback>
    </mc:AlternateContent>
    <mc:AlternateContent xmlns:mc="http://schemas.openxmlformats.org/markup-compatibility/2006">
      <mc:Choice Requires="x14">
        <control shapeId="8211" r:id="rId9" name="ComboBox6">
          <controlPr defaultSize="0" autoLine="0" listFillRange="Geräte_Maschienen!A1:A113" r:id="rId7">
            <anchor moveWithCells="1">
              <from>
                <xdr:col>1</xdr:col>
                <xdr:colOff>19050</xdr:colOff>
                <xdr:row>33</xdr:row>
                <xdr:rowOff>9525</xdr:rowOff>
              </from>
              <to>
                <xdr:col>4</xdr:col>
                <xdr:colOff>1190625</xdr:colOff>
                <xdr:row>33</xdr:row>
                <xdr:rowOff>190500</xdr:rowOff>
              </to>
            </anchor>
          </controlPr>
        </control>
      </mc:Choice>
      <mc:Fallback>
        <control shapeId="8211" r:id="rId9" name="ComboBox6"/>
      </mc:Fallback>
    </mc:AlternateContent>
    <mc:AlternateContent xmlns:mc="http://schemas.openxmlformats.org/markup-compatibility/2006">
      <mc:Choice Requires="x14">
        <control shapeId="8210" r:id="rId10" name="ComboBox4">
          <controlPr defaultSize="0" autoLine="0" listFillRange="Geräte_Maschienen!A1:A113" r:id="rId5">
            <anchor moveWithCells="1">
              <from>
                <xdr:col>5</xdr:col>
                <xdr:colOff>19050</xdr:colOff>
                <xdr:row>32</xdr:row>
                <xdr:rowOff>9525</xdr:rowOff>
              </from>
              <to>
                <xdr:col>7</xdr:col>
                <xdr:colOff>876300</xdr:colOff>
                <xdr:row>32</xdr:row>
                <xdr:rowOff>190500</xdr:rowOff>
              </to>
            </anchor>
          </controlPr>
        </control>
      </mc:Choice>
      <mc:Fallback>
        <control shapeId="8210" r:id="rId10" name="ComboBox4"/>
      </mc:Fallback>
    </mc:AlternateContent>
    <mc:AlternateContent xmlns:mc="http://schemas.openxmlformats.org/markup-compatibility/2006">
      <mc:Choice Requires="x14">
        <control shapeId="8209" r:id="rId11" name="ComboBox3">
          <controlPr defaultSize="0" autoLine="0" listFillRange="Geräte_Maschienen!A1:A113" r:id="rId7">
            <anchor moveWithCells="1">
              <from>
                <xdr:col>1</xdr:col>
                <xdr:colOff>19050</xdr:colOff>
                <xdr:row>32</xdr:row>
                <xdr:rowOff>9525</xdr:rowOff>
              </from>
              <to>
                <xdr:col>4</xdr:col>
                <xdr:colOff>1190625</xdr:colOff>
                <xdr:row>32</xdr:row>
                <xdr:rowOff>190500</xdr:rowOff>
              </to>
            </anchor>
          </controlPr>
        </control>
      </mc:Choice>
      <mc:Fallback>
        <control shapeId="8209" r:id="rId11" name="ComboBox3"/>
      </mc:Fallback>
    </mc:AlternateContent>
    <mc:AlternateContent xmlns:mc="http://schemas.openxmlformats.org/markup-compatibility/2006">
      <mc:Choice Requires="x14">
        <control shapeId="8208" r:id="rId12" name="ComboBox2">
          <controlPr defaultSize="0" autoLine="0" autoPict="0" listFillRange="Geräte_Maschienen!A1:A113" r:id="rId5">
            <anchor moveWithCells="1">
              <from>
                <xdr:col>5</xdr:col>
                <xdr:colOff>19050</xdr:colOff>
                <xdr:row>31</xdr:row>
                <xdr:rowOff>9525</xdr:rowOff>
              </from>
              <to>
                <xdr:col>7</xdr:col>
                <xdr:colOff>876300</xdr:colOff>
                <xdr:row>31</xdr:row>
                <xdr:rowOff>200025</xdr:rowOff>
              </to>
            </anchor>
          </controlPr>
        </control>
      </mc:Choice>
      <mc:Fallback>
        <control shapeId="8208" r:id="rId12" name="ComboBox2"/>
      </mc:Fallback>
    </mc:AlternateContent>
    <mc:AlternateContent xmlns:mc="http://schemas.openxmlformats.org/markup-compatibility/2006">
      <mc:Choice Requires="x14">
        <control shapeId="8207" r:id="rId13" name="ComboBox1">
          <controlPr defaultSize="0" autoLine="0" listFillRange="Geräte_Maschienen!A1:A113" r:id="rId7">
            <anchor moveWithCells="1">
              <from>
                <xdr:col>1</xdr:col>
                <xdr:colOff>19050</xdr:colOff>
                <xdr:row>31</xdr:row>
                <xdr:rowOff>9525</xdr:rowOff>
              </from>
              <to>
                <xdr:col>4</xdr:col>
                <xdr:colOff>1190625</xdr:colOff>
                <xdr:row>31</xdr:row>
                <xdr:rowOff>190500</xdr:rowOff>
              </to>
            </anchor>
          </controlPr>
        </control>
      </mc:Choice>
      <mc:Fallback>
        <control shapeId="8207" r:id="rId13" name="ComboBox1"/>
      </mc:Fallback>
    </mc:AlternateContent>
    <mc:AlternateContent xmlns:mc="http://schemas.openxmlformats.org/markup-compatibility/2006">
      <mc:Choice Requires="x14">
        <control shapeId="8206" r:id="rId14" name="Button 14">
          <controlPr defaultSize="0" print="0" autoFill="0" autoPict="0" macro="[0]!PDF">
            <anchor moveWithCells="1" sizeWithCells="1">
              <from>
                <xdr:col>9</xdr:col>
                <xdr:colOff>9525</xdr:colOff>
                <xdr:row>0</xdr:row>
                <xdr:rowOff>28575</xdr:rowOff>
              </from>
              <to>
                <xdr:col>9</xdr:col>
                <xdr:colOff>685800</xdr:colOff>
                <xdr:row>2</xdr:row>
                <xdr:rowOff>180975</xdr:rowOff>
              </to>
            </anchor>
          </controlPr>
        </control>
      </mc:Choice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9"/>
  <dimension ref="A1:H47"/>
  <sheetViews>
    <sheetView showWhiteSpace="0" view="pageLayout" zoomScale="115" zoomScaleNormal="100" zoomScalePageLayoutView="115" workbookViewId="0">
      <selection activeCell="B8" sqref="B8:E8"/>
    </sheetView>
  </sheetViews>
  <sheetFormatPr baseColWidth="10" defaultColWidth="11.42578125" defaultRowHeight="12.75" x14ac:dyDescent="0.2"/>
  <cols>
    <col min="1" max="1" width="3.85546875" style="1" customWidth="1"/>
    <col min="2" max="2" width="12.42578125" style="1" customWidth="1"/>
    <col min="3" max="3" width="9.85546875" style="1" customWidth="1"/>
    <col min="4" max="4" width="7.5703125" style="1" customWidth="1"/>
    <col min="5" max="5" width="17.42578125" style="1" customWidth="1"/>
    <col min="6" max="6" width="9.42578125" style="1" customWidth="1"/>
    <col min="7" max="7" width="17.42578125" style="1" bestFit="1" customWidth="1"/>
    <col min="8" max="8" width="12.5703125" style="1" customWidth="1"/>
    <col min="9" max="16384" width="11.42578125" style="1"/>
  </cols>
  <sheetData>
    <row r="1" spans="1:8" ht="18.399999999999999" customHeight="1" x14ac:dyDescent="0.2">
      <c r="A1" s="120" t="s">
        <v>242</v>
      </c>
      <c r="B1" s="120"/>
      <c r="C1" s="120"/>
      <c r="D1" s="120">
        <f>Montag!$D$1+5</f>
        <v>5</v>
      </c>
      <c r="E1" s="120"/>
      <c r="F1" s="120"/>
      <c r="G1" s="82"/>
      <c r="H1" s="82"/>
    </row>
    <row r="2" spans="1:8" ht="16.7" customHeight="1" x14ac:dyDescent="0.2">
      <c r="A2" s="122" t="s">
        <v>243</v>
      </c>
      <c r="B2" s="122"/>
      <c r="C2" s="193">
        <f>Montag!C2</f>
        <v>0</v>
      </c>
      <c r="D2" s="193"/>
      <c r="E2" s="193"/>
      <c r="F2" s="193"/>
      <c r="G2" s="82"/>
      <c r="H2" s="82"/>
    </row>
    <row r="3" spans="1:8" ht="16.7" customHeight="1" x14ac:dyDescent="0.2">
      <c r="A3" s="122" t="s">
        <v>1</v>
      </c>
      <c r="B3" s="122"/>
      <c r="C3" s="193">
        <f>Montag!C3</f>
        <v>0</v>
      </c>
      <c r="D3" s="193"/>
      <c r="E3" s="193"/>
      <c r="F3" s="193"/>
      <c r="G3" s="82"/>
      <c r="H3" s="82"/>
    </row>
    <row r="4" spans="1:8" ht="16.7" customHeight="1" x14ac:dyDescent="0.2">
      <c r="A4" s="122" t="s">
        <v>244</v>
      </c>
      <c r="B4" s="122"/>
      <c r="C4" s="194">
        <f>Montag!C4+5</f>
        <v>5</v>
      </c>
      <c r="D4" s="194"/>
      <c r="E4" s="109" t="s">
        <v>271</v>
      </c>
      <c r="F4" s="110">
        <f>WEEKNUM(C4,21)</f>
        <v>1</v>
      </c>
      <c r="G4" s="82"/>
      <c r="H4" s="82"/>
    </row>
    <row r="5" spans="1:8" ht="16.7" customHeight="1" x14ac:dyDescent="0.2">
      <c r="A5" s="122" t="s">
        <v>245</v>
      </c>
      <c r="B5" s="122"/>
      <c r="C5" s="94"/>
      <c r="D5" s="83" t="s">
        <v>246</v>
      </c>
      <c r="E5" s="94"/>
      <c r="F5" s="84"/>
      <c r="G5" s="82"/>
      <c r="H5" s="82"/>
    </row>
    <row r="6" spans="1:8" ht="16.7" customHeight="1" x14ac:dyDescent="0.2">
      <c r="A6" s="122" t="s">
        <v>247</v>
      </c>
      <c r="B6" s="122"/>
      <c r="C6" s="193" t="str">
        <f>Montag!C6</f>
        <v>Beham</v>
      </c>
      <c r="D6" s="193"/>
      <c r="E6" s="193"/>
      <c r="F6" s="193"/>
      <c r="G6" s="82"/>
      <c r="H6" s="82"/>
    </row>
    <row r="7" spans="1:8" ht="6.95" customHeight="1" thickBot="1" x14ac:dyDescent="0.25">
      <c r="A7" s="85"/>
      <c r="B7" s="85"/>
      <c r="C7" s="85"/>
      <c r="D7" s="85"/>
      <c r="E7" s="86"/>
      <c r="F7" s="87"/>
      <c r="G7" s="82"/>
      <c r="H7" s="82"/>
    </row>
    <row r="8" spans="1:8" ht="16.7" customHeight="1" x14ac:dyDescent="0.2">
      <c r="A8" s="124" t="s">
        <v>248</v>
      </c>
      <c r="B8" s="126"/>
      <c r="C8" s="127"/>
      <c r="D8" s="127"/>
      <c r="E8" s="128"/>
      <c r="F8" s="129" t="s">
        <v>249</v>
      </c>
      <c r="G8" s="101" t="s">
        <v>250</v>
      </c>
      <c r="H8" s="105">
        <v>0</v>
      </c>
    </row>
    <row r="9" spans="1:8" ht="16.7" customHeight="1" thickBot="1" x14ac:dyDescent="0.25">
      <c r="A9" s="125"/>
      <c r="B9" s="131"/>
      <c r="C9" s="132"/>
      <c r="D9" s="132"/>
      <c r="E9" s="133"/>
      <c r="F9" s="130"/>
      <c r="G9" s="102" t="s">
        <v>251</v>
      </c>
      <c r="H9" s="106">
        <v>0</v>
      </c>
    </row>
    <row r="10" spans="1:8" ht="16.7" customHeight="1" x14ac:dyDescent="0.2">
      <c r="A10" s="134" t="s">
        <v>267</v>
      </c>
      <c r="B10" s="103" t="s">
        <v>252</v>
      </c>
      <c r="C10" s="137" t="s">
        <v>253</v>
      </c>
      <c r="D10" s="138"/>
      <c r="E10" s="95" t="s">
        <v>254</v>
      </c>
      <c r="F10" s="88" t="s">
        <v>253</v>
      </c>
      <c r="G10" s="96" t="s">
        <v>254</v>
      </c>
      <c r="H10" s="88" t="s">
        <v>253</v>
      </c>
    </row>
    <row r="11" spans="1:8" ht="16.7" customHeight="1" x14ac:dyDescent="0.2">
      <c r="A11" s="135"/>
      <c r="B11" s="80" t="s">
        <v>255</v>
      </c>
      <c r="C11" s="115"/>
      <c r="D11" s="116"/>
      <c r="E11" s="195"/>
      <c r="F11" s="197"/>
      <c r="G11" s="195"/>
      <c r="H11" s="197"/>
    </row>
    <row r="12" spans="1:8" ht="16.7" customHeight="1" x14ac:dyDescent="0.2">
      <c r="A12" s="135"/>
      <c r="B12" s="80" t="s">
        <v>256</v>
      </c>
      <c r="C12" s="115"/>
      <c r="D12" s="116"/>
      <c r="E12" s="196"/>
      <c r="F12" s="198"/>
      <c r="G12" s="196"/>
      <c r="H12" s="198"/>
    </row>
    <row r="13" spans="1:8" ht="16.7" customHeight="1" x14ac:dyDescent="0.2">
      <c r="A13" s="135"/>
      <c r="B13" s="80" t="s">
        <v>241</v>
      </c>
      <c r="C13" s="115"/>
      <c r="D13" s="116"/>
      <c r="E13" s="195"/>
      <c r="F13" s="197"/>
      <c r="G13" s="195"/>
      <c r="H13" s="197"/>
    </row>
    <row r="14" spans="1:8" ht="16.7" customHeight="1" x14ac:dyDescent="0.2">
      <c r="A14" s="135"/>
      <c r="B14" s="111"/>
      <c r="C14" s="115"/>
      <c r="D14" s="116"/>
      <c r="E14" s="196"/>
      <c r="F14" s="198"/>
      <c r="G14" s="196"/>
      <c r="H14" s="198"/>
    </row>
    <row r="15" spans="1:8" ht="16.7" customHeight="1" thickBot="1" x14ac:dyDescent="0.25">
      <c r="A15" s="136"/>
      <c r="B15" s="104" t="s">
        <v>257</v>
      </c>
      <c r="C15" s="191">
        <f>SUM(C11:D14)</f>
        <v>0</v>
      </c>
      <c r="D15" s="192"/>
      <c r="E15" s="81"/>
      <c r="F15" s="89"/>
      <c r="G15" s="97"/>
      <c r="H15" s="89"/>
    </row>
    <row r="16" spans="1:8" ht="16.7" customHeight="1" x14ac:dyDescent="0.2">
      <c r="A16" s="124" t="s">
        <v>268</v>
      </c>
      <c r="B16" s="140" t="s">
        <v>258</v>
      </c>
      <c r="C16" s="140"/>
      <c r="D16" s="140"/>
      <c r="E16" s="140"/>
      <c r="F16" s="140"/>
      <c r="G16" s="140"/>
      <c r="H16" s="141"/>
    </row>
    <row r="17" spans="1:8" ht="16.7" customHeight="1" x14ac:dyDescent="0.2">
      <c r="A17" s="139"/>
      <c r="B17" s="142"/>
      <c r="C17" s="143"/>
      <c r="D17" s="143"/>
      <c r="E17" s="143"/>
      <c r="F17" s="143"/>
      <c r="G17" s="143"/>
      <c r="H17" s="144"/>
    </row>
    <row r="18" spans="1:8" ht="16.7" customHeight="1" x14ac:dyDescent="0.2">
      <c r="A18" s="139"/>
      <c r="B18" s="117"/>
      <c r="C18" s="145"/>
      <c r="D18" s="145"/>
      <c r="E18" s="145"/>
      <c r="F18" s="145"/>
      <c r="G18" s="145"/>
      <c r="H18" s="146"/>
    </row>
    <row r="19" spans="1:8" ht="16.7" customHeight="1" x14ac:dyDescent="0.2">
      <c r="A19" s="139"/>
      <c r="B19" s="117"/>
      <c r="C19" s="145"/>
      <c r="D19" s="145"/>
      <c r="E19" s="145"/>
      <c r="F19" s="145"/>
      <c r="G19" s="145"/>
      <c r="H19" s="146"/>
    </row>
    <row r="20" spans="1:8" ht="16.7" customHeight="1" x14ac:dyDescent="0.2">
      <c r="A20" s="139"/>
      <c r="B20" s="117"/>
      <c r="C20" s="145"/>
      <c r="D20" s="145"/>
      <c r="E20" s="145"/>
      <c r="F20" s="145"/>
      <c r="G20" s="145"/>
      <c r="H20" s="146"/>
    </row>
    <row r="21" spans="1:8" ht="16.7" customHeight="1" x14ac:dyDescent="0.2">
      <c r="A21" s="139"/>
      <c r="B21" s="117"/>
      <c r="C21" s="118"/>
      <c r="D21" s="118"/>
      <c r="E21" s="118"/>
      <c r="F21" s="118"/>
      <c r="G21" s="118"/>
      <c r="H21" s="119"/>
    </row>
    <row r="22" spans="1:8" ht="16.7" customHeight="1" x14ac:dyDescent="0.2">
      <c r="A22" s="139"/>
      <c r="B22" s="117"/>
      <c r="C22" s="118"/>
      <c r="D22" s="118"/>
      <c r="E22" s="118"/>
      <c r="F22" s="118"/>
      <c r="G22" s="118"/>
      <c r="H22" s="119"/>
    </row>
    <row r="23" spans="1:8" ht="16.7" customHeight="1" x14ac:dyDescent="0.2">
      <c r="A23" s="139"/>
      <c r="B23" s="117"/>
      <c r="C23" s="118"/>
      <c r="D23" s="118"/>
      <c r="E23" s="118"/>
      <c r="F23" s="118"/>
      <c r="G23" s="118"/>
      <c r="H23" s="119"/>
    </row>
    <row r="24" spans="1:8" ht="16.7" customHeight="1" x14ac:dyDescent="0.2">
      <c r="A24" s="139"/>
      <c r="B24" s="117"/>
      <c r="C24" s="118"/>
      <c r="D24" s="118"/>
      <c r="E24" s="118"/>
      <c r="F24" s="118"/>
      <c r="G24" s="118"/>
      <c r="H24" s="119"/>
    </row>
    <row r="25" spans="1:8" ht="16.7" customHeight="1" x14ac:dyDescent="0.2">
      <c r="A25" s="139"/>
      <c r="B25" s="117"/>
      <c r="C25" s="118"/>
      <c r="D25" s="118"/>
      <c r="E25" s="118"/>
      <c r="F25" s="118"/>
      <c r="G25" s="118"/>
      <c r="H25" s="119"/>
    </row>
    <row r="26" spans="1:8" ht="16.7" customHeight="1" x14ac:dyDescent="0.2">
      <c r="A26" s="139"/>
      <c r="B26" s="117"/>
      <c r="C26" s="118"/>
      <c r="D26" s="118"/>
      <c r="E26" s="118"/>
      <c r="F26" s="118"/>
      <c r="G26" s="118"/>
      <c r="H26" s="119"/>
    </row>
    <row r="27" spans="1:8" ht="16.7" customHeight="1" x14ac:dyDescent="0.2">
      <c r="A27" s="139"/>
      <c r="B27" s="117"/>
      <c r="C27" s="118"/>
      <c r="D27" s="118"/>
      <c r="E27" s="118"/>
      <c r="F27" s="118"/>
      <c r="G27" s="118"/>
      <c r="H27" s="119"/>
    </row>
    <row r="28" spans="1:8" ht="16.7" customHeight="1" x14ac:dyDescent="0.2">
      <c r="A28" s="139"/>
      <c r="B28" s="117"/>
      <c r="C28" s="118"/>
      <c r="D28" s="118"/>
      <c r="E28" s="118"/>
      <c r="F28" s="118"/>
      <c r="G28" s="118"/>
      <c r="H28" s="119"/>
    </row>
    <row r="29" spans="1:8" ht="16.7" customHeight="1" x14ac:dyDescent="0.2">
      <c r="A29" s="139"/>
      <c r="B29" s="117"/>
      <c r="C29" s="118"/>
      <c r="D29" s="118"/>
      <c r="E29" s="118"/>
      <c r="F29" s="118"/>
      <c r="G29" s="118"/>
      <c r="H29" s="119"/>
    </row>
    <row r="30" spans="1:8" ht="16.7" customHeight="1" thickBot="1" x14ac:dyDescent="0.25">
      <c r="A30" s="125"/>
      <c r="B30" s="165"/>
      <c r="C30" s="172"/>
      <c r="D30" s="172"/>
      <c r="E30" s="172"/>
      <c r="F30" s="172"/>
      <c r="G30" s="172"/>
      <c r="H30" s="173"/>
    </row>
    <row r="31" spans="1:8" ht="16.7" customHeight="1" x14ac:dyDescent="0.2">
      <c r="A31" s="174" t="s">
        <v>269</v>
      </c>
      <c r="B31" s="177" t="s">
        <v>259</v>
      </c>
      <c r="C31" s="178"/>
      <c r="D31" s="178"/>
      <c r="E31" s="179"/>
      <c r="F31" s="177" t="s">
        <v>259</v>
      </c>
      <c r="G31" s="178"/>
      <c r="H31" s="180"/>
    </row>
    <row r="32" spans="1:8" ht="16.7" customHeight="1" x14ac:dyDescent="0.2">
      <c r="A32" s="175"/>
      <c r="B32" s="158"/>
      <c r="C32" s="185"/>
      <c r="D32" s="185"/>
      <c r="E32" s="162"/>
      <c r="F32" s="186"/>
      <c r="G32" s="187"/>
      <c r="H32" s="188"/>
    </row>
    <row r="33" spans="1:8" ht="16.7" customHeight="1" x14ac:dyDescent="0.2">
      <c r="A33" s="175"/>
      <c r="B33" s="158"/>
      <c r="C33" s="185"/>
      <c r="D33" s="185"/>
      <c r="E33" s="162"/>
      <c r="F33" s="158"/>
      <c r="G33" s="159"/>
      <c r="H33" s="189"/>
    </row>
    <row r="34" spans="1:8" ht="16.7" customHeight="1" x14ac:dyDescent="0.2">
      <c r="A34" s="175"/>
      <c r="B34" s="158"/>
      <c r="C34" s="185"/>
      <c r="D34" s="185"/>
      <c r="E34" s="162"/>
      <c r="F34" s="158"/>
      <c r="G34" s="159"/>
      <c r="H34" s="189"/>
    </row>
    <row r="35" spans="1:8" ht="16.7" customHeight="1" thickBot="1" x14ac:dyDescent="0.25">
      <c r="A35" s="176"/>
      <c r="B35" s="161"/>
      <c r="C35" s="185"/>
      <c r="D35" s="185"/>
      <c r="E35" s="162"/>
      <c r="F35" s="161"/>
      <c r="G35" s="185"/>
      <c r="H35" s="190"/>
    </row>
    <row r="36" spans="1:8" ht="16.7" customHeight="1" x14ac:dyDescent="0.2">
      <c r="A36" s="150" t="s">
        <v>193</v>
      </c>
      <c r="B36" s="153" t="s">
        <v>260</v>
      </c>
      <c r="C36" s="154"/>
      <c r="D36" s="154"/>
      <c r="E36" s="155"/>
      <c r="F36" s="153" t="s">
        <v>261</v>
      </c>
      <c r="G36" s="155"/>
      <c r="H36" s="107" t="s">
        <v>0</v>
      </c>
    </row>
    <row r="37" spans="1:8" ht="16.7" customHeight="1" x14ac:dyDescent="0.2">
      <c r="A37" s="151"/>
      <c r="B37" s="156"/>
      <c r="C37" s="157"/>
      <c r="D37" s="157"/>
      <c r="E37" s="157"/>
      <c r="F37" s="157"/>
      <c r="G37" s="157"/>
      <c r="H37" s="98"/>
    </row>
    <row r="38" spans="1:8" ht="16.7" customHeight="1" x14ac:dyDescent="0.2">
      <c r="A38" s="151"/>
      <c r="B38" s="156"/>
      <c r="C38" s="157"/>
      <c r="D38" s="157"/>
      <c r="E38" s="157"/>
      <c r="F38" s="157"/>
      <c r="G38" s="157"/>
      <c r="H38" s="99"/>
    </row>
    <row r="39" spans="1:8" ht="16.5" customHeight="1" x14ac:dyDescent="0.2">
      <c r="A39" s="151"/>
      <c r="B39" s="158"/>
      <c r="C39" s="159"/>
      <c r="D39" s="159"/>
      <c r="E39" s="160"/>
      <c r="F39" s="161"/>
      <c r="G39" s="162"/>
      <c r="H39" s="99"/>
    </row>
    <row r="40" spans="1:8" ht="16.7" customHeight="1" thickBot="1" x14ac:dyDescent="0.25">
      <c r="A40" s="152"/>
      <c r="B40" s="163"/>
      <c r="C40" s="164"/>
      <c r="D40" s="164"/>
      <c r="E40" s="164"/>
      <c r="F40" s="164"/>
      <c r="G40" s="164"/>
      <c r="H40" s="100"/>
    </row>
    <row r="41" spans="1:8" ht="16.7" customHeight="1" x14ac:dyDescent="0.2">
      <c r="A41" s="134" t="s">
        <v>270</v>
      </c>
      <c r="B41" s="182"/>
      <c r="C41" s="183"/>
      <c r="D41" s="183"/>
      <c r="E41" s="183"/>
      <c r="F41" s="183"/>
      <c r="G41" s="183"/>
      <c r="H41" s="184"/>
    </row>
    <row r="42" spans="1:8" ht="16.7" customHeight="1" x14ac:dyDescent="0.2">
      <c r="A42" s="135"/>
      <c r="B42" s="117"/>
      <c r="C42" s="145"/>
      <c r="D42" s="145"/>
      <c r="E42" s="145"/>
      <c r="F42" s="145"/>
      <c r="G42" s="145"/>
      <c r="H42" s="146"/>
    </row>
    <row r="43" spans="1:8" ht="16.7" customHeight="1" x14ac:dyDescent="0.2">
      <c r="A43" s="135"/>
      <c r="B43" s="117"/>
      <c r="C43" s="145"/>
      <c r="D43" s="145"/>
      <c r="E43" s="145"/>
      <c r="F43" s="145"/>
      <c r="G43" s="145"/>
      <c r="H43" s="146"/>
    </row>
    <row r="44" spans="1:8" ht="16.7" customHeight="1" thickBot="1" x14ac:dyDescent="0.25">
      <c r="A44" s="136"/>
      <c r="B44" s="165"/>
      <c r="C44" s="166"/>
      <c r="D44" s="166"/>
      <c r="E44" s="166"/>
      <c r="F44" s="166"/>
      <c r="G44" s="166"/>
      <c r="H44" s="167"/>
    </row>
    <row r="45" spans="1:8" ht="24" customHeight="1" x14ac:dyDescent="0.2">
      <c r="A45" s="90"/>
      <c r="B45" s="91" t="s">
        <v>262</v>
      </c>
      <c r="C45" s="91"/>
      <c r="D45" s="90"/>
      <c r="E45" s="91"/>
      <c r="F45" s="91"/>
      <c r="G45" s="92"/>
      <c r="H45" s="92"/>
    </row>
    <row r="46" spans="1:8" ht="16.7" customHeight="1" x14ac:dyDescent="0.2">
      <c r="A46" s="92"/>
      <c r="B46" s="108" t="s">
        <v>263</v>
      </c>
      <c r="C46" s="147"/>
      <c r="D46" s="147"/>
      <c r="E46" s="90"/>
      <c r="F46" s="108" t="s">
        <v>264</v>
      </c>
      <c r="G46" s="148"/>
      <c r="H46" s="148"/>
    </row>
    <row r="47" spans="1:8" ht="16.7" customHeight="1" x14ac:dyDescent="0.2">
      <c r="A47" s="93"/>
      <c r="B47" s="93"/>
      <c r="C47" s="149" t="s">
        <v>265</v>
      </c>
      <c r="D47" s="149"/>
      <c r="E47" s="92"/>
      <c r="F47" s="92"/>
      <c r="G47" s="149" t="s">
        <v>266</v>
      </c>
      <c r="H47" s="149"/>
    </row>
  </sheetData>
  <sheetProtection selectLockedCells="1"/>
  <mergeCells count="77">
    <mergeCell ref="C46:D46"/>
    <mergeCell ref="G46:H46"/>
    <mergeCell ref="C47:D47"/>
    <mergeCell ref="G47:H47"/>
    <mergeCell ref="B40:E40"/>
    <mergeCell ref="F40:G40"/>
    <mergeCell ref="F33:H33"/>
    <mergeCell ref="B34:E34"/>
    <mergeCell ref="F34:H34"/>
    <mergeCell ref="B35:E35"/>
    <mergeCell ref="A41:A44"/>
    <mergeCell ref="B41:H41"/>
    <mergeCell ref="B42:H42"/>
    <mergeCell ref="B43:H43"/>
    <mergeCell ref="B44:H44"/>
    <mergeCell ref="B29:H29"/>
    <mergeCell ref="A36:A40"/>
    <mergeCell ref="B36:E36"/>
    <mergeCell ref="F36:G36"/>
    <mergeCell ref="B37:E37"/>
    <mergeCell ref="F37:G37"/>
    <mergeCell ref="B38:E38"/>
    <mergeCell ref="F38:G38"/>
    <mergeCell ref="B39:E39"/>
    <mergeCell ref="F39:G39"/>
    <mergeCell ref="A31:A35"/>
    <mergeCell ref="B31:E31"/>
    <mergeCell ref="F31:H31"/>
    <mergeCell ref="B32:E32"/>
    <mergeCell ref="F32:H32"/>
    <mergeCell ref="B33:E33"/>
    <mergeCell ref="B30:H30"/>
    <mergeCell ref="F35:H35"/>
    <mergeCell ref="A16:A30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H11:H12"/>
    <mergeCell ref="C12:D12"/>
    <mergeCell ref="C13:D13"/>
    <mergeCell ref="E13:E14"/>
    <mergeCell ref="F13:F14"/>
    <mergeCell ref="G13:G14"/>
    <mergeCell ref="H13:H14"/>
    <mergeCell ref="C14:D14"/>
    <mergeCell ref="G11:G12"/>
    <mergeCell ref="A10:A15"/>
    <mergeCell ref="C10:D10"/>
    <mergeCell ref="C11:D11"/>
    <mergeCell ref="E11:E12"/>
    <mergeCell ref="F11:F12"/>
    <mergeCell ref="C15:D15"/>
    <mergeCell ref="A8:A9"/>
    <mergeCell ref="B8:E8"/>
    <mergeCell ref="F8:F9"/>
    <mergeCell ref="B9:E9"/>
    <mergeCell ref="A1:C1"/>
    <mergeCell ref="D1:F1"/>
    <mergeCell ref="A2:B2"/>
    <mergeCell ref="C2:F2"/>
    <mergeCell ref="A3:B3"/>
    <mergeCell ref="C3:F3"/>
    <mergeCell ref="A4:B4"/>
    <mergeCell ref="A5:B5"/>
    <mergeCell ref="A6:B6"/>
    <mergeCell ref="C6:F6"/>
    <mergeCell ref="C4:D4"/>
  </mergeCells>
  <pageMargins left="0.59055118110236227" right="0.47244094488188981" top="0.39370078740157483" bottom="0.39370078740157483" header="0.51181102362204722" footer="0.31496062992125984"/>
  <pageSetup paperSize="9" orientation="portrait" r:id="rId1"/>
  <headerFooter alignWithMargins="0">
    <oddFooter>&amp;RSeite &amp;P von &amp;N</oddFooter>
  </headerFooter>
  <drawing r:id="rId2"/>
  <legacyDrawing r:id="rId3"/>
  <controls>
    <mc:AlternateContent xmlns:mc="http://schemas.openxmlformats.org/markup-compatibility/2006">
      <mc:Choice Requires="x14">
        <control shapeId="9238" r:id="rId4" name="ComboBox8">
          <controlPr defaultSize="0" autoLine="0" listFillRange="Geräte_Maschienen!A1:A113" r:id="rId5">
            <anchor moveWithCells="1">
              <from>
                <xdr:col>5</xdr:col>
                <xdr:colOff>19050</xdr:colOff>
                <xdr:row>34</xdr:row>
                <xdr:rowOff>9525</xdr:rowOff>
              </from>
              <to>
                <xdr:col>7</xdr:col>
                <xdr:colOff>876300</xdr:colOff>
                <xdr:row>34</xdr:row>
                <xdr:rowOff>190500</xdr:rowOff>
              </to>
            </anchor>
          </controlPr>
        </control>
      </mc:Choice>
      <mc:Fallback>
        <control shapeId="9238" r:id="rId4" name="ComboBox8"/>
      </mc:Fallback>
    </mc:AlternateContent>
    <mc:AlternateContent xmlns:mc="http://schemas.openxmlformats.org/markup-compatibility/2006">
      <mc:Choice Requires="x14">
        <control shapeId="9237" r:id="rId6" name="ComboBox7">
          <controlPr defaultSize="0" autoLine="0" listFillRange="Geräte_Maschienen!A1:A113" r:id="rId7">
            <anchor moveWithCells="1">
              <from>
                <xdr:col>1</xdr:col>
                <xdr:colOff>19050</xdr:colOff>
                <xdr:row>34</xdr:row>
                <xdr:rowOff>9525</xdr:rowOff>
              </from>
              <to>
                <xdr:col>4</xdr:col>
                <xdr:colOff>1190625</xdr:colOff>
                <xdr:row>34</xdr:row>
                <xdr:rowOff>190500</xdr:rowOff>
              </to>
            </anchor>
          </controlPr>
        </control>
      </mc:Choice>
      <mc:Fallback>
        <control shapeId="9237" r:id="rId6" name="ComboBox7"/>
      </mc:Fallback>
    </mc:AlternateContent>
    <mc:AlternateContent xmlns:mc="http://schemas.openxmlformats.org/markup-compatibility/2006">
      <mc:Choice Requires="x14">
        <control shapeId="9236" r:id="rId8" name="ComboBox5">
          <controlPr defaultSize="0" autoLine="0" listFillRange="Geräte_Maschienen!A1:A113" r:id="rId5">
            <anchor moveWithCells="1">
              <from>
                <xdr:col>5</xdr:col>
                <xdr:colOff>19050</xdr:colOff>
                <xdr:row>33</xdr:row>
                <xdr:rowOff>9525</xdr:rowOff>
              </from>
              <to>
                <xdr:col>7</xdr:col>
                <xdr:colOff>876300</xdr:colOff>
                <xdr:row>33</xdr:row>
                <xdr:rowOff>190500</xdr:rowOff>
              </to>
            </anchor>
          </controlPr>
        </control>
      </mc:Choice>
      <mc:Fallback>
        <control shapeId="9236" r:id="rId8" name="ComboBox5"/>
      </mc:Fallback>
    </mc:AlternateContent>
    <mc:AlternateContent xmlns:mc="http://schemas.openxmlformats.org/markup-compatibility/2006">
      <mc:Choice Requires="x14">
        <control shapeId="9235" r:id="rId9" name="ComboBox6">
          <controlPr defaultSize="0" autoLine="0" listFillRange="Geräte_Maschienen!A1:A113" r:id="rId7">
            <anchor moveWithCells="1">
              <from>
                <xdr:col>1</xdr:col>
                <xdr:colOff>19050</xdr:colOff>
                <xdr:row>33</xdr:row>
                <xdr:rowOff>9525</xdr:rowOff>
              </from>
              <to>
                <xdr:col>4</xdr:col>
                <xdr:colOff>1190625</xdr:colOff>
                <xdr:row>33</xdr:row>
                <xdr:rowOff>190500</xdr:rowOff>
              </to>
            </anchor>
          </controlPr>
        </control>
      </mc:Choice>
      <mc:Fallback>
        <control shapeId="9235" r:id="rId9" name="ComboBox6"/>
      </mc:Fallback>
    </mc:AlternateContent>
    <mc:AlternateContent xmlns:mc="http://schemas.openxmlformats.org/markup-compatibility/2006">
      <mc:Choice Requires="x14">
        <control shapeId="9234" r:id="rId10" name="ComboBox4">
          <controlPr defaultSize="0" autoLine="0" listFillRange="Geräte_Maschienen!A1:A113" r:id="rId5">
            <anchor moveWithCells="1">
              <from>
                <xdr:col>5</xdr:col>
                <xdr:colOff>19050</xdr:colOff>
                <xdr:row>32</xdr:row>
                <xdr:rowOff>9525</xdr:rowOff>
              </from>
              <to>
                <xdr:col>7</xdr:col>
                <xdr:colOff>876300</xdr:colOff>
                <xdr:row>32</xdr:row>
                <xdr:rowOff>190500</xdr:rowOff>
              </to>
            </anchor>
          </controlPr>
        </control>
      </mc:Choice>
      <mc:Fallback>
        <control shapeId="9234" r:id="rId10" name="ComboBox4"/>
      </mc:Fallback>
    </mc:AlternateContent>
    <mc:AlternateContent xmlns:mc="http://schemas.openxmlformats.org/markup-compatibility/2006">
      <mc:Choice Requires="x14">
        <control shapeId="9233" r:id="rId11" name="ComboBox3">
          <controlPr defaultSize="0" autoLine="0" listFillRange="Geräte_Maschienen!A1:A113" r:id="rId7">
            <anchor moveWithCells="1">
              <from>
                <xdr:col>1</xdr:col>
                <xdr:colOff>19050</xdr:colOff>
                <xdr:row>32</xdr:row>
                <xdr:rowOff>9525</xdr:rowOff>
              </from>
              <to>
                <xdr:col>4</xdr:col>
                <xdr:colOff>1190625</xdr:colOff>
                <xdr:row>32</xdr:row>
                <xdr:rowOff>190500</xdr:rowOff>
              </to>
            </anchor>
          </controlPr>
        </control>
      </mc:Choice>
      <mc:Fallback>
        <control shapeId="9233" r:id="rId11" name="ComboBox3"/>
      </mc:Fallback>
    </mc:AlternateContent>
    <mc:AlternateContent xmlns:mc="http://schemas.openxmlformats.org/markup-compatibility/2006">
      <mc:Choice Requires="x14">
        <control shapeId="9232" r:id="rId12" name="ComboBox2">
          <controlPr defaultSize="0" autoLine="0" autoPict="0" listFillRange="Geräte_Maschienen!A1:A113" r:id="rId5">
            <anchor moveWithCells="1">
              <from>
                <xdr:col>5</xdr:col>
                <xdr:colOff>19050</xdr:colOff>
                <xdr:row>31</xdr:row>
                <xdr:rowOff>9525</xdr:rowOff>
              </from>
              <to>
                <xdr:col>7</xdr:col>
                <xdr:colOff>876300</xdr:colOff>
                <xdr:row>31</xdr:row>
                <xdr:rowOff>200025</xdr:rowOff>
              </to>
            </anchor>
          </controlPr>
        </control>
      </mc:Choice>
      <mc:Fallback>
        <control shapeId="9232" r:id="rId12" name="ComboBox2"/>
      </mc:Fallback>
    </mc:AlternateContent>
    <mc:AlternateContent xmlns:mc="http://schemas.openxmlformats.org/markup-compatibility/2006">
      <mc:Choice Requires="x14">
        <control shapeId="9231" r:id="rId13" name="ComboBox1">
          <controlPr defaultSize="0" autoLine="0" listFillRange="Geräte_Maschienen!A1:A113" r:id="rId7">
            <anchor moveWithCells="1">
              <from>
                <xdr:col>1</xdr:col>
                <xdr:colOff>19050</xdr:colOff>
                <xdr:row>31</xdr:row>
                <xdr:rowOff>9525</xdr:rowOff>
              </from>
              <to>
                <xdr:col>4</xdr:col>
                <xdr:colOff>1190625</xdr:colOff>
                <xdr:row>31</xdr:row>
                <xdr:rowOff>190500</xdr:rowOff>
              </to>
            </anchor>
          </controlPr>
        </control>
      </mc:Choice>
      <mc:Fallback>
        <control shapeId="9231" r:id="rId13" name="ComboBox1"/>
      </mc:Fallback>
    </mc:AlternateContent>
    <mc:AlternateContent xmlns:mc="http://schemas.openxmlformats.org/markup-compatibility/2006">
      <mc:Choice Requires="x14">
        <control shapeId="9230" r:id="rId14" name="Button 14">
          <controlPr defaultSize="0" print="0" autoFill="0" autoPict="0" macro="[0]!PDF">
            <anchor moveWithCells="1" sizeWithCells="1">
              <from>
                <xdr:col>9</xdr:col>
                <xdr:colOff>9525</xdr:colOff>
                <xdr:row>0</xdr:row>
                <xdr:rowOff>28575</xdr:rowOff>
              </from>
              <to>
                <xdr:col>9</xdr:col>
                <xdr:colOff>685800</xdr:colOff>
                <xdr:row>2</xdr:row>
                <xdr:rowOff>180975</xdr:rowOff>
              </to>
            </anchor>
          </controlPr>
        </control>
      </mc:Choice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D113"/>
  <sheetViews>
    <sheetView topLeftCell="A111" zoomScale="70" zoomScaleNormal="70" workbookViewId="0">
      <selection sqref="A1:A15"/>
    </sheetView>
  </sheetViews>
  <sheetFormatPr baseColWidth="10" defaultColWidth="10.85546875" defaultRowHeight="15" x14ac:dyDescent="0.25"/>
  <cols>
    <col min="1" max="1" width="41.7109375" style="3" customWidth="1"/>
    <col min="2" max="16384" width="10.85546875" style="3"/>
  </cols>
  <sheetData>
    <row r="1" spans="1:1" x14ac:dyDescent="0.25">
      <c r="A1" s="2" t="s">
        <v>2</v>
      </c>
    </row>
    <row r="2" spans="1:1" x14ac:dyDescent="0.25">
      <c r="A2" s="2" t="s">
        <v>3</v>
      </c>
    </row>
    <row r="3" spans="1:1" x14ac:dyDescent="0.25">
      <c r="A3" s="2" t="s">
        <v>4</v>
      </c>
    </row>
    <row r="4" spans="1:1" x14ac:dyDescent="0.25">
      <c r="A4" s="2" t="s">
        <v>5</v>
      </c>
    </row>
    <row r="5" spans="1:1" x14ac:dyDescent="0.25">
      <c r="A5" s="2" t="s">
        <v>6</v>
      </c>
    </row>
    <row r="6" spans="1:1" x14ac:dyDescent="0.25">
      <c r="A6" s="2" t="s">
        <v>7</v>
      </c>
    </row>
    <row r="7" spans="1:1" x14ac:dyDescent="0.25">
      <c r="A7" s="2" t="s">
        <v>8</v>
      </c>
    </row>
    <row r="8" spans="1:1" x14ac:dyDescent="0.25">
      <c r="A8" s="2" t="s">
        <v>9</v>
      </c>
    </row>
    <row r="9" spans="1:1" x14ac:dyDescent="0.25">
      <c r="A9" s="2" t="s">
        <v>10</v>
      </c>
    </row>
    <row r="10" spans="1:1" x14ac:dyDescent="0.25">
      <c r="A10" s="2" t="s">
        <v>11</v>
      </c>
    </row>
    <row r="11" spans="1:1" x14ac:dyDescent="0.25">
      <c r="A11" s="4" t="s">
        <v>12</v>
      </c>
    </row>
    <row r="12" spans="1:1" x14ac:dyDescent="0.25">
      <c r="A12" s="4" t="s">
        <v>13</v>
      </c>
    </row>
    <row r="13" spans="1:1" x14ac:dyDescent="0.25">
      <c r="A13" s="5" t="s">
        <v>14</v>
      </c>
    </row>
    <row r="14" spans="1:1" x14ac:dyDescent="0.25">
      <c r="A14" s="5" t="s">
        <v>15</v>
      </c>
    </row>
    <row r="15" spans="1:1" x14ac:dyDescent="0.25">
      <c r="A15" s="5" t="s">
        <v>16</v>
      </c>
    </row>
    <row r="16" spans="1:1" x14ac:dyDescent="0.25">
      <c r="A16" s="6" t="s">
        <v>17</v>
      </c>
    </row>
    <row r="17" spans="1:1" x14ac:dyDescent="0.25">
      <c r="A17" s="7" t="s">
        <v>18</v>
      </c>
    </row>
    <row r="18" spans="1:1" x14ac:dyDescent="0.25">
      <c r="A18" s="7" t="s">
        <v>19</v>
      </c>
    </row>
    <row r="19" spans="1:1" x14ac:dyDescent="0.25">
      <c r="A19" s="8" t="s">
        <v>20</v>
      </c>
    </row>
    <row r="20" spans="1:1" x14ac:dyDescent="0.25">
      <c r="A20" s="6" t="s">
        <v>21</v>
      </c>
    </row>
    <row r="21" spans="1:1" x14ac:dyDescent="0.25">
      <c r="A21" s="6" t="s">
        <v>22</v>
      </c>
    </row>
    <row r="22" spans="1:1" x14ac:dyDescent="0.25">
      <c r="A22" s="9" t="s">
        <v>23</v>
      </c>
    </row>
    <row r="23" spans="1:1" x14ac:dyDescent="0.25">
      <c r="A23" s="10" t="s">
        <v>24</v>
      </c>
    </row>
    <row r="24" spans="1:1" x14ac:dyDescent="0.25">
      <c r="A24" s="10" t="s">
        <v>25</v>
      </c>
    </row>
    <row r="25" spans="1:1" x14ac:dyDescent="0.25">
      <c r="A25" s="6" t="s">
        <v>26</v>
      </c>
    </row>
    <row r="26" spans="1:1" x14ac:dyDescent="0.25">
      <c r="A26" s="6" t="s">
        <v>27</v>
      </c>
    </row>
    <row r="27" spans="1:1" x14ac:dyDescent="0.25">
      <c r="A27" s="11" t="s">
        <v>28</v>
      </c>
    </row>
    <row r="28" spans="1:1" x14ac:dyDescent="0.25">
      <c r="A28" s="6" t="s">
        <v>29</v>
      </c>
    </row>
    <row r="29" spans="1:1" x14ac:dyDescent="0.25">
      <c r="A29" s="6" t="s">
        <v>30</v>
      </c>
    </row>
    <row r="30" spans="1:1" x14ac:dyDescent="0.25">
      <c r="A30" s="12" t="s">
        <v>31</v>
      </c>
    </row>
    <row r="31" spans="1:1" x14ac:dyDescent="0.25">
      <c r="A31" s="12" t="s">
        <v>32</v>
      </c>
    </row>
    <row r="32" spans="1:1" x14ac:dyDescent="0.25">
      <c r="A32" s="12" t="s">
        <v>33</v>
      </c>
    </row>
    <row r="33" spans="1:4" x14ac:dyDescent="0.25">
      <c r="A33" s="12" t="s">
        <v>34</v>
      </c>
    </row>
    <row r="34" spans="1:4" x14ac:dyDescent="0.25">
      <c r="A34" s="12" t="s">
        <v>35</v>
      </c>
      <c r="C34" s="13"/>
      <c r="D34" s="13"/>
    </row>
    <row r="35" spans="1:4" x14ac:dyDescent="0.25">
      <c r="A35" s="14" t="s">
        <v>36</v>
      </c>
      <c r="D35" s="13"/>
    </row>
    <row r="36" spans="1:4" x14ac:dyDescent="0.25">
      <c r="A36" s="15" t="s">
        <v>37</v>
      </c>
    </row>
    <row r="37" spans="1:4" x14ac:dyDescent="0.25">
      <c r="A37" s="6" t="s">
        <v>38</v>
      </c>
    </row>
    <row r="38" spans="1:4" x14ac:dyDescent="0.25">
      <c r="A38" s="16"/>
    </row>
    <row r="39" spans="1:4" x14ac:dyDescent="0.25">
      <c r="A39" s="16"/>
    </row>
    <row r="40" spans="1:4" x14ac:dyDescent="0.25">
      <c r="A40" s="17" t="s">
        <v>39</v>
      </c>
      <c r="D40" s="13"/>
    </row>
    <row r="41" spans="1:4" s="19" customFormat="1" x14ac:dyDescent="0.25">
      <c r="A41" s="18" t="s">
        <v>40</v>
      </c>
    </row>
    <row r="42" spans="1:4" x14ac:dyDescent="0.25">
      <c r="A42" s="5" t="s">
        <v>41</v>
      </c>
    </row>
    <row r="43" spans="1:4" x14ac:dyDescent="0.25">
      <c r="A43" s="6" t="s">
        <v>42</v>
      </c>
    </row>
    <row r="44" spans="1:4" x14ac:dyDescent="0.25">
      <c r="A44" s="6" t="s">
        <v>43</v>
      </c>
    </row>
    <row r="45" spans="1:4" x14ac:dyDescent="0.25">
      <c r="A45" s="6" t="s">
        <v>44</v>
      </c>
    </row>
    <row r="46" spans="1:4" x14ac:dyDescent="0.25">
      <c r="A46" s="6" t="s">
        <v>45</v>
      </c>
    </row>
    <row r="47" spans="1:4" x14ac:dyDescent="0.25">
      <c r="A47" s="6" t="s">
        <v>46</v>
      </c>
    </row>
    <row r="48" spans="1:4" x14ac:dyDescent="0.25">
      <c r="A48" s="6" t="s">
        <v>47</v>
      </c>
    </row>
    <row r="49" spans="1:1" x14ac:dyDescent="0.25">
      <c r="A49" s="6" t="s">
        <v>48</v>
      </c>
    </row>
    <row r="50" spans="1:1" x14ac:dyDescent="0.25">
      <c r="A50" s="6" t="s">
        <v>49</v>
      </c>
    </row>
    <row r="51" spans="1:1" x14ac:dyDescent="0.25">
      <c r="A51" s="6" t="s">
        <v>50</v>
      </c>
    </row>
    <row r="52" spans="1:1" x14ac:dyDescent="0.25">
      <c r="A52" s="6" t="s">
        <v>51</v>
      </c>
    </row>
    <row r="53" spans="1:1" x14ac:dyDescent="0.25">
      <c r="A53" s="6" t="s">
        <v>52</v>
      </c>
    </row>
    <row r="54" spans="1:1" x14ac:dyDescent="0.25">
      <c r="A54" s="6" t="s">
        <v>53</v>
      </c>
    </row>
    <row r="55" spans="1:1" x14ac:dyDescent="0.25">
      <c r="A55" s="6" t="s">
        <v>54</v>
      </c>
    </row>
    <row r="56" spans="1:1" x14ac:dyDescent="0.25">
      <c r="A56" s="6" t="s">
        <v>55</v>
      </c>
    </row>
    <row r="57" spans="1:1" x14ac:dyDescent="0.25">
      <c r="A57" s="6" t="s">
        <v>56</v>
      </c>
    </row>
    <row r="58" spans="1:1" x14ac:dyDescent="0.25">
      <c r="A58" s="6" t="s">
        <v>159</v>
      </c>
    </row>
    <row r="59" spans="1:1" x14ac:dyDescent="0.25">
      <c r="A59" s="6" t="s">
        <v>160</v>
      </c>
    </row>
    <row r="60" spans="1:1" x14ac:dyDescent="0.25">
      <c r="A60" s="6" t="s">
        <v>57</v>
      </c>
    </row>
    <row r="61" spans="1:1" x14ac:dyDescent="0.25">
      <c r="A61" s="6"/>
    </row>
    <row r="62" spans="1:1" x14ac:dyDescent="0.25">
      <c r="A62" s="6"/>
    </row>
    <row r="63" spans="1:1" x14ac:dyDescent="0.25">
      <c r="A63" s="20" t="s">
        <v>58</v>
      </c>
    </row>
    <row r="64" spans="1:1" x14ac:dyDescent="0.25">
      <c r="A64" s="6" t="s">
        <v>59</v>
      </c>
    </row>
    <row r="65" spans="1:1" x14ac:dyDescent="0.25">
      <c r="A65" s="17" t="s">
        <v>60</v>
      </c>
    </row>
    <row r="66" spans="1:1" s="19" customFormat="1" x14ac:dyDescent="0.25">
      <c r="A66" s="5" t="s">
        <v>61</v>
      </c>
    </row>
    <row r="67" spans="1:1" x14ac:dyDescent="0.25">
      <c r="A67" s="21" t="s">
        <v>62</v>
      </c>
    </row>
    <row r="68" spans="1:1" x14ac:dyDescent="0.25">
      <c r="A68" s="6" t="s">
        <v>63</v>
      </c>
    </row>
    <row r="69" spans="1:1" x14ac:dyDescent="0.25">
      <c r="A69" s="6" t="s">
        <v>64</v>
      </c>
    </row>
    <row r="70" spans="1:1" x14ac:dyDescent="0.25">
      <c r="A70" s="6" t="s">
        <v>65</v>
      </c>
    </row>
    <row r="71" spans="1:1" x14ac:dyDescent="0.25">
      <c r="A71" s="6" t="s">
        <v>66</v>
      </c>
    </row>
    <row r="72" spans="1:1" x14ac:dyDescent="0.25">
      <c r="A72" s="6" t="s">
        <v>67</v>
      </c>
    </row>
    <row r="73" spans="1:1" x14ac:dyDescent="0.25">
      <c r="A73" s="6" t="s">
        <v>68</v>
      </c>
    </row>
    <row r="74" spans="1:1" x14ac:dyDescent="0.25">
      <c r="A74" s="6" t="s">
        <v>69</v>
      </c>
    </row>
    <row r="75" spans="1:1" x14ac:dyDescent="0.25">
      <c r="A75" s="6" t="s">
        <v>70</v>
      </c>
    </row>
    <row r="76" spans="1:1" x14ac:dyDescent="0.25">
      <c r="A76" s="6" t="s">
        <v>79</v>
      </c>
    </row>
    <row r="77" spans="1:1" x14ac:dyDescent="0.25">
      <c r="A77" s="22" t="s">
        <v>80</v>
      </c>
    </row>
    <row r="78" spans="1:1" x14ac:dyDescent="0.25">
      <c r="A78" s="6" t="s">
        <v>81</v>
      </c>
    </row>
    <row r="79" spans="1:1" x14ac:dyDescent="0.25">
      <c r="A79" s="6" t="s">
        <v>82</v>
      </c>
    </row>
    <row r="80" spans="1:1" x14ac:dyDescent="0.25">
      <c r="A80" s="16" t="s">
        <v>83</v>
      </c>
    </row>
    <row r="81" spans="1:1" x14ac:dyDescent="0.25">
      <c r="A81" s="23" t="s">
        <v>84</v>
      </c>
    </row>
    <row r="82" spans="1:1" x14ac:dyDescent="0.25">
      <c r="A82" s="23" t="s">
        <v>85</v>
      </c>
    </row>
    <row r="83" spans="1:1" x14ac:dyDescent="0.25">
      <c r="A83" s="20" t="s">
        <v>86</v>
      </c>
    </row>
    <row r="84" spans="1:1" x14ac:dyDescent="0.25">
      <c r="A84" s="6" t="s">
        <v>87</v>
      </c>
    </row>
    <row r="85" spans="1:1" x14ac:dyDescent="0.25">
      <c r="A85" s="6" t="s">
        <v>88</v>
      </c>
    </row>
    <row r="86" spans="1:1" x14ac:dyDescent="0.25">
      <c r="A86" s="6" t="s">
        <v>89</v>
      </c>
    </row>
    <row r="87" spans="1:1" x14ac:dyDescent="0.25">
      <c r="A87" s="6" t="s">
        <v>90</v>
      </c>
    </row>
    <row r="88" spans="1:1" x14ac:dyDescent="0.25">
      <c r="A88" s="6" t="s">
        <v>91</v>
      </c>
    </row>
    <row r="89" spans="1:1" x14ac:dyDescent="0.25">
      <c r="A89" s="12" t="s">
        <v>92</v>
      </c>
    </row>
    <row r="90" spans="1:1" x14ac:dyDescent="0.25">
      <c r="A90" s="12" t="s">
        <v>93</v>
      </c>
    </row>
    <row r="91" spans="1:1" x14ac:dyDescent="0.25">
      <c r="A91" s="12" t="s">
        <v>94</v>
      </c>
    </row>
    <row r="92" spans="1:1" x14ac:dyDescent="0.25">
      <c r="A92" s="6" t="s">
        <v>95</v>
      </c>
    </row>
    <row r="93" spans="1:1" x14ac:dyDescent="0.25">
      <c r="A93" s="22" t="s">
        <v>96</v>
      </c>
    </row>
    <row r="94" spans="1:1" x14ac:dyDescent="0.25">
      <c r="A94" s="6" t="s">
        <v>97</v>
      </c>
    </row>
    <row r="95" spans="1:1" x14ac:dyDescent="0.25">
      <c r="A95" s="6" t="s">
        <v>98</v>
      </c>
    </row>
    <row r="96" spans="1:1" x14ac:dyDescent="0.25">
      <c r="A96" s="6" t="s">
        <v>99</v>
      </c>
    </row>
    <row r="97" spans="1:1" x14ac:dyDescent="0.25">
      <c r="A97" s="6" t="s">
        <v>100</v>
      </c>
    </row>
    <row r="98" spans="1:1" x14ac:dyDescent="0.25">
      <c r="A98" s="24" t="s">
        <v>101</v>
      </c>
    </row>
    <row r="99" spans="1:1" x14ac:dyDescent="0.25">
      <c r="A99" s="6" t="s">
        <v>102</v>
      </c>
    </row>
    <row r="100" spans="1:1" x14ac:dyDescent="0.25">
      <c r="A100" s="6" t="s">
        <v>103</v>
      </c>
    </row>
    <row r="101" spans="1:1" x14ac:dyDescent="0.25">
      <c r="A101" s="6" t="s">
        <v>104</v>
      </c>
    </row>
    <row r="102" spans="1:1" x14ac:dyDescent="0.25">
      <c r="A102" s="6" t="s">
        <v>105</v>
      </c>
    </row>
    <row r="103" spans="1:1" x14ac:dyDescent="0.25">
      <c r="A103" s="6" t="s">
        <v>106</v>
      </c>
    </row>
    <row r="104" spans="1:1" x14ac:dyDescent="0.25">
      <c r="A104" s="14" t="s">
        <v>107</v>
      </c>
    </row>
    <row r="105" spans="1:1" x14ac:dyDescent="0.25">
      <c r="A105" s="6" t="s">
        <v>108</v>
      </c>
    </row>
    <row r="106" spans="1:1" x14ac:dyDescent="0.25">
      <c r="A106" s="6" t="s">
        <v>109</v>
      </c>
    </row>
    <row r="107" spans="1:1" x14ac:dyDescent="0.25">
      <c r="A107" s="10" t="s">
        <v>110</v>
      </c>
    </row>
    <row r="108" spans="1:1" x14ac:dyDescent="0.25">
      <c r="A108" s="14" t="s">
        <v>111</v>
      </c>
    </row>
    <row r="109" spans="1:1" ht="14.25" customHeight="1" x14ac:dyDescent="0.25">
      <c r="A109" s="6" t="s">
        <v>112</v>
      </c>
    </row>
    <row r="110" spans="1:1" x14ac:dyDescent="0.25">
      <c r="A110" s="6" t="s">
        <v>113</v>
      </c>
    </row>
    <row r="111" spans="1:1" x14ac:dyDescent="0.25">
      <c r="A111" s="6" t="s">
        <v>114</v>
      </c>
    </row>
    <row r="112" spans="1:1" x14ac:dyDescent="0.25">
      <c r="A112" s="25" t="s">
        <v>115</v>
      </c>
    </row>
    <row r="113" spans="1:1" x14ac:dyDescent="0.25">
      <c r="A113" s="14" t="s">
        <v>116</v>
      </c>
    </row>
  </sheetData>
  <pageMargins left="0.31496062992125984" right="0.31496062992125984" top="0.39370078740157483" bottom="0.3937007874015748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F143"/>
  <sheetViews>
    <sheetView workbookViewId="0">
      <selection activeCell="B117" sqref="B117"/>
    </sheetView>
  </sheetViews>
  <sheetFormatPr baseColWidth="10" defaultColWidth="10.85546875" defaultRowHeight="15" x14ac:dyDescent="0.25"/>
  <cols>
    <col min="1" max="1" width="13.5703125" style="3" bestFit="1" customWidth="1"/>
    <col min="2" max="2" width="40.5703125" style="3" bestFit="1" customWidth="1"/>
    <col min="3" max="16384" width="10.85546875" style="3"/>
  </cols>
  <sheetData>
    <row r="1" spans="1:2" ht="6" customHeight="1" x14ac:dyDescent="0.25">
      <c r="A1" s="26"/>
      <c r="B1" s="27"/>
    </row>
    <row r="2" spans="1:2" x14ac:dyDescent="0.25">
      <c r="A2" s="28"/>
      <c r="B2" s="29" t="s">
        <v>71</v>
      </c>
    </row>
    <row r="3" spans="1:2" x14ac:dyDescent="0.25">
      <c r="A3" s="30"/>
      <c r="B3" s="18" t="s">
        <v>72</v>
      </c>
    </row>
    <row r="4" spans="1:2" x14ac:dyDescent="0.25">
      <c r="A4" s="30"/>
      <c r="B4" s="5" t="s">
        <v>73</v>
      </c>
    </row>
    <row r="5" spans="1:2" x14ac:dyDescent="0.25">
      <c r="A5" s="30"/>
      <c r="B5" s="5" t="s">
        <v>74</v>
      </c>
    </row>
    <row r="6" spans="1:2" x14ac:dyDescent="0.25">
      <c r="A6" s="30"/>
      <c r="B6" s="5" t="s">
        <v>75</v>
      </c>
    </row>
    <row r="7" spans="1:2" x14ac:dyDescent="0.25">
      <c r="A7" s="30"/>
      <c r="B7" s="5" t="s">
        <v>76</v>
      </c>
    </row>
    <row r="8" spans="1:2" x14ac:dyDescent="0.25">
      <c r="A8" s="30"/>
      <c r="B8" s="5" t="s">
        <v>77</v>
      </c>
    </row>
    <row r="9" spans="1:2" x14ac:dyDescent="0.25">
      <c r="A9" s="31"/>
      <c r="B9" s="5" t="s">
        <v>78</v>
      </c>
    </row>
    <row r="10" spans="1:2" x14ac:dyDescent="0.25">
      <c r="A10" s="31"/>
      <c r="B10" s="16"/>
    </row>
    <row r="11" spans="1:2" x14ac:dyDescent="0.25">
      <c r="A11" s="31"/>
      <c r="B11" s="16"/>
    </row>
    <row r="12" spans="1:2" x14ac:dyDescent="0.25">
      <c r="A12" s="28"/>
      <c r="B12" s="5" t="s">
        <v>117</v>
      </c>
    </row>
    <row r="13" spans="1:2" x14ac:dyDescent="0.25">
      <c r="A13" s="28"/>
      <c r="B13" s="5" t="s">
        <v>118</v>
      </c>
    </row>
    <row r="14" spans="1:2" x14ac:dyDescent="0.25">
      <c r="A14" s="28"/>
      <c r="B14" s="5" t="s">
        <v>119</v>
      </c>
    </row>
    <row r="15" spans="1:2" x14ac:dyDescent="0.25">
      <c r="A15" s="28"/>
      <c r="B15" s="5" t="s">
        <v>120</v>
      </c>
    </row>
    <row r="16" spans="1:2" x14ac:dyDescent="0.25">
      <c r="A16" s="32"/>
    </row>
    <row r="17" spans="1:2" x14ac:dyDescent="0.25">
      <c r="A17" s="33"/>
      <c r="B17" s="34"/>
    </row>
    <row r="18" spans="1:2" x14ac:dyDescent="0.25">
      <c r="A18" s="35"/>
      <c r="B18" s="4" t="s">
        <v>161</v>
      </c>
    </row>
    <row r="19" spans="1:2" x14ac:dyDescent="0.25">
      <c r="A19" s="36"/>
      <c r="B19" s="4" t="s">
        <v>162</v>
      </c>
    </row>
    <row r="20" spans="1:2" x14ac:dyDescent="0.25">
      <c r="A20" s="36"/>
      <c r="B20" s="4" t="s">
        <v>163</v>
      </c>
    </row>
    <row r="21" spans="1:2" ht="15.75" thickBot="1" x14ac:dyDescent="0.3">
      <c r="A21" s="35"/>
      <c r="B21" s="37" t="s">
        <v>164</v>
      </c>
    </row>
    <row r="22" spans="1:2" ht="15.75" thickTop="1" x14ac:dyDescent="0.25">
      <c r="A22" s="35"/>
      <c r="B22" s="38" t="s">
        <v>165</v>
      </c>
    </row>
    <row r="23" spans="1:2" x14ac:dyDescent="0.25">
      <c r="A23" s="39"/>
      <c r="B23" s="4" t="s">
        <v>166</v>
      </c>
    </row>
    <row r="24" spans="1:2" x14ac:dyDescent="0.25">
      <c r="A24" s="35"/>
      <c r="B24" s="4" t="s">
        <v>167</v>
      </c>
    </row>
    <row r="25" spans="1:2" x14ac:dyDescent="0.25">
      <c r="A25" s="40"/>
      <c r="B25" s="7" t="s">
        <v>168</v>
      </c>
    </row>
    <row r="26" spans="1:2" x14ac:dyDescent="0.25">
      <c r="A26" s="40"/>
      <c r="B26" s="8" t="s">
        <v>169</v>
      </c>
    </row>
    <row r="27" spans="1:2" x14ac:dyDescent="0.25">
      <c r="A27" s="40"/>
      <c r="B27" s="8" t="s">
        <v>170</v>
      </c>
    </row>
    <row r="28" spans="1:2" ht="15.75" thickBot="1" x14ac:dyDescent="0.3">
      <c r="A28" s="40"/>
      <c r="B28" s="41" t="s">
        <v>171</v>
      </c>
    </row>
    <row r="29" spans="1:2" ht="15.75" thickTop="1" x14ac:dyDescent="0.25">
      <c r="A29" s="40"/>
      <c r="B29" s="42"/>
    </row>
    <row r="30" spans="1:2" x14ac:dyDescent="0.25">
      <c r="A30" s="40"/>
      <c r="B30" s="42"/>
    </row>
    <row r="31" spans="1:2" x14ac:dyDescent="0.25">
      <c r="A31" s="35"/>
      <c r="B31" s="43" t="s">
        <v>172</v>
      </c>
    </row>
    <row r="32" spans="1:2" x14ac:dyDescent="0.25">
      <c r="A32" s="35"/>
      <c r="B32" s="38" t="s">
        <v>173</v>
      </c>
    </row>
    <row r="33" spans="1:2" x14ac:dyDescent="0.25">
      <c r="A33" s="35"/>
      <c r="B33" s="44" t="s">
        <v>174</v>
      </c>
    </row>
    <row r="34" spans="1:2" ht="15.75" thickBot="1" x14ac:dyDescent="0.3">
      <c r="A34" s="35"/>
      <c r="B34" s="45" t="s">
        <v>175</v>
      </c>
    </row>
    <row r="35" spans="1:2" ht="15.75" thickTop="1" x14ac:dyDescent="0.25">
      <c r="A35" s="35"/>
      <c r="B35" s="42"/>
    </row>
    <row r="36" spans="1:2" x14ac:dyDescent="0.25">
      <c r="A36" s="35"/>
      <c r="B36" s="42"/>
    </row>
    <row r="37" spans="1:2" x14ac:dyDescent="0.25">
      <c r="A37" s="35"/>
      <c r="B37" s="43" t="s">
        <v>176</v>
      </c>
    </row>
    <row r="38" spans="1:2" x14ac:dyDescent="0.25">
      <c r="A38" s="35"/>
      <c r="B38" s="46" t="s">
        <v>177</v>
      </c>
    </row>
    <row r="39" spans="1:2" x14ac:dyDescent="0.25">
      <c r="A39" s="47"/>
      <c r="B39" s="48" t="s">
        <v>178</v>
      </c>
    </row>
    <row r="40" spans="1:2" x14ac:dyDescent="0.25">
      <c r="A40" s="49"/>
      <c r="B40" s="22" t="s">
        <v>179</v>
      </c>
    </row>
    <row r="41" spans="1:2" x14ac:dyDescent="0.25">
      <c r="A41" s="49"/>
      <c r="B41" s="22" t="s">
        <v>180</v>
      </c>
    </row>
    <row r="42" spans="1:2" x14ac:dyDescent="0.25">
      <c r="A42" s="49"/>
      <c r="B42" s="22" t="s">
        <v>181</v>
      </c>
    </row>
    <row r="43" spans="1:2" ht="15.75" thickBot="1" x14ac:dyDescent="0.3">
      <c r="A43" s="49"/>
      <c r="B43" s="50" t="s">
        <v>182</v>
      </c>
    </row>
    <row r="44" spans="1:2" ht="15.75" thickTop="1" x14ac:dyDescent="0.25">
      <c r="A44" s="49"/>
      <c r="B44" s="46"/>
    </row>
    <row r="45" spans="1:2" x14ac:dyDescent="0.25">
      <c r="A45" s="49"/>
      <c r="B45" s="46"/>
    </row>
    <row r="46" spans="1:2" x14ac:dyDescent="0.25">
      <c r="A46" s="47"/>
      <c r="B46" s="51" t="s">
        <v>183</v>
      </c>
    </row>
    <row r="47" spans="1:2" x14ac:dyDescent="0.25">
      <c r="A47" s="35"/>
      <c r="B47" s="46" t="s">
        <v>184</v>
      </c>
    </row>
    <row r="48" spans="1:2" x14ac:dyDescent="0.25">
      <c r="A48" s="35"/>
      <c r="B48" s="48" t="s">
        <v>185</v>
      </c>
    </row>
    <row r="49" spans="1:2" x14ac:dyDescent="0.25">
      <c r="A49" s="49"/>
      <c r="B49" s="52" t="s">
        <v>186</v>
      </c>
    </row>
    <row r="50" spans="1:2" x14ac:dyDescent="0.25">
      <c r="A50" s="49"/>
      <c r="B50" s="22" t="s">
        <v>187</v>
      </c>
    </row>
    <row r="51" spans="1:2" x14ac:dyDescent="0.25">
      <c r="A51" s="49"/>
      <c r="B51" s="52" t="s">
        <v>188</v>
      </c>
    </row>
    <row r="52" spans="1:2" x14ac:dyDescent="0.25">
      <c r="A52" s="49"/>
      <c r="B52" s="53" t="s">
        <v>189</v>
      </c>
    </row>
    <row r="53" spans="1:2" x14ac:dyDescent="0.25">
      <c r="A53" s="49"/>
      <c r="B53" s="22" t="s">
        <v>190</v>
      </c>
    </row>
    <row r="54" spans="1:2" x14ac:dyDescent="0.25">
      <c r="A54" s="49"/>
      <c r="B54" s="22" t="s">
        <v>191</v>
      </c>
    </row>
    <row r="55" spans="1:2" ht="15.75" thickBot="1" x14ac:dyDescent="0.3">
      <c r="A55" s="49"/>
      <c r="B55" s="54" t="s">
        <v>192</v>
      </c>
    </row>
    <row r="56" spans="1:2" ht="15.75" thickTop="1" x14ac:dyDescent="0.25">
      <c r="A56" s="49"/>
      <c r="B56" s="55"/>
    </row>
    <row r="57" spans="1:2" x14ac:dyDescent="0.25">
      <c r="A57" s="49"/>
      <c r="B57" s="55"/>
    </row>
    <row r="58" spans="1:2" x14ac:dyDescent="0.25">
      <c r="A58" s="47"/>
      <c r="B58" s="56" t="s">
        <v>193</v>
      </c>
    </row>
    <row r="59" spans="1:2" x14ac:dyDescent="0.25">
      <c r="A59" s="35"/>
      <c r="B59" s="57" t="s">
        <v>194</v>
      </c>
    </row>
    <row r="60" spans="1:2" x14ac:dyDescent="0.25">
      <c r="A60" s="49"/>
      <c r="B60" s="58" t="s">
        <v>195</v>
      </c>
    </row>
    <row r="61" spans="1:2" x14ac:dyDescent="0.25">
      <c r="A61" s="49"/>
      <c r="B61" s="58" t="s">
        <v>196</v>
      </c>
    </row>
    <row r="62" spans="1:2" x14ac:dyDescent="0.25">
      <c r="A62" s="59"/>
      <c r="B62" s="7" t="s">
        <v>197</v>
      </c>
    </row>
    <row r="63" spans="1:2" x14ac:dyDescent="0.25">
      <c r="A63" s="59"/>
      <c r="B63" s="60" t="s">
        <v>198</v>
      </c>
    </row>
    <row r="64" spans="1:2" x14ac:dyDescent="0.25">
      <c r="A64" s="49"/>
      <c r="B64" s="60" t="s">
        <v>199</v>
      </c>
    </row>
    <row r="65" spans="1:5" x14ac:dyDescent="0.25">
      <c r="A65" s="49"/>
      <c r="B65" s="7" t="s">
        <v>200</v>
      </c>
    </row>
    <row r="66" spans="1:5" x14ac:dyDescent="0.25">
      <c r="A66" s="49"/>
      <c r="B66" s="7" t="s">
        <v>201</v>
      </c>
    </row>
    <row r="67" spans="1:5" x14ac:dyDescent="0.25">
      <c r="A67" s="49"/>
      <c r="B67" s="8" t="s">
        <v>202</v>
      </c>
    </row>
    <row r="68" spans="1:5" x14ac:dyDescent="0.25">
      <c r="A68" s="49"/>
      <c r="B68" s="20" t="s">
        <v>203</v>
      </c>
    </row>
    <row r="69" spans="1:5" x14ac:dyDescent="0.25">
      <c r="A69" s="35"/>
      <c r="B69" s="20" t="s">
        <v>204</v>
      </c>
    </row>
    <row r="70" spans="1:5" x14ac:dyDescent="0.25">
      <c r="A70" s="49"/>
      <c r="B70" s="22" t="s">
        <v>205</v>
      </c>
    </row>
    <row r="71" spans="1:5" x14ac:dyDescent="0.25">
      <c r="A71" s="49"/>
      <c r="B71" s="22" t="s">
        <v>206</v>
      </c>
    </row>
    <row r="72" spans="1:5" x14ac:dyDescent="0.25">
      <c r="A72" s="49"/>
      <c r="B72" s="53" t="s">
        <v>207</v>
      </c>
      <c r="E72" s="61"/>
    </row>
    <row r="73" spans="1:5" x14ac:dyDescent="0.25">
      <c r="A73" s="49"/>
      <c r="B73" s="22" t="s">
        <v>208</v>
      </c>
    </row>
    <row r="74" spans="1:5" x14ac:dyDescent="0.25">
      <c r="A74" s="49"/>
      <c r="B74" s="22" t="s">
        <v>209</v>
      </c>
    </row>
    <row r="75" spans="1:5" x14ac:dyDescent="0.25">
      <c r="A75" s="49"/>
      <c r="B75" s="22" t="s">
        <v>210</v>
      </c>
    </row>
    <row r="76" spans="1:5" x14ac:dyDescent="0.25">
      <c r="A76" s="49"/>
      <c r="B76" s="53" t="s">
        <v>211</v>
      </c>
    </row>
    <row r="77" spans="1:5" x14ac:dyDescent="0.25">
      <c r="A77" s="49"/>
      <c r="B77" s="53" t="s">
        <v>212</v>
      </c>
    </row>
    <row r="78" spans="1:5" x14ac:dyDescent="0.25">
      <c r="A78" s="49"/>
      <c r="B78" s="53" t="s">
        <v>213</v>
      </c>
    </row>
    <row r="79" spans="1:5" x14ac:dyDescent="0.25">
      <c r="A79" s="49"/>
      <c r="B79" s="53" t="s">
        <v>214</v>
      </c>
    </row>
    <row r="80" spans="1:5" x14ac:dyDescent="0.25">
      <c r="A80" s="49"/>
      <c r="B80" s="20" t="s">
        <v>215</v>
      </c>
    </row>
    <row r="81" spans="1:2" x14ac:dyDescent="0.25">
      <c r="A81" s="49"/>
      <c r="B81" s="20" t="s">
        <v>216</v>
      </c>
    </row>
    <row r="82" spans="1:2" x14ac:dyDescent="0.25">
      <c r="A82" s="49"/>
      <c r="B82" s="20" t="s">
        <v>217</v>
      </c>
    </row>
    <row r="83" spans="1:2" x14ac:dyDescent="0.25">
      <c r="A83" s="49"/>
      <c r="B83" s="20" t="s">
        <v>218</v>
      </c>
    </row>
    <row r="84" spans="1:2" x14ac:dyDescent="0.25">
      <c r="A84" s="49"/>
      <c r="B84" s="20" t="s">
        <v>219</v>
      </c>
    </row>
    <row r="85" spans="1:2" x14ac:dyDescent="0.25">
      <c r="A85" s="49"/>
      <c r="B85" s="20" t="s">
        <v>220</v>
      </c>
    </row>
    <row r="86" spans="1:2" x14ac:dyDescent="0.25">
      <c r="A86" s="49"/>
      <c r="B86" s="20" t="s">
        <v>221</v>
      </c>
    </row>
    <row r="87" spans="1:2" x14ac:dyDescent="0.25">
      <c r="A87" s="49"/>
      <c r="B87" s="17"/>
    </row>
    <row r="88" spans="1:2" x14ac:dyDescent="0.25">
      <c r="A88" s="26"/>
      <c r="B88" s="62"/>
    </row>
    <row r="89" spans="1:2" x14ac:dyDescent="0.25">
      <c r="A89" s="31"/>
      <c r="B89" s="63" t="s">
        <v>222</v>
      </c>
    </row>
    <row r="90" spans="1:2" x14ac:dyDescent="0.25">
      <c r="A90" s="64"/>
      <c r="B90" s="22" t="s">
        <v>223</v>
      </c>
    </row>
    <row r="91" spans="1:2" x14ac:dyDescent="0.25">
      <c r="A91" s="64"/>
      <c r="B91" s="22" t="s">
        <v>224</v>
      </c>
    </row>
    <row r="92" spans="1:2" x14ac:dyDescent="0.25">
      <c r="A92" s="33"/>
      <c r="B92" s="22" t="s">
        <v>225</v>
      </c>
    </row>
    <row r="93" spans="1:2" x14ac:dyDescent="0.25">
      <c r="A93" s="65"/>
      <c r="B93" s="22" t="s">
        <v>226</v>
      </c>
    </row>
    <row r="94" spans="1:2" x14ac:dyDescent="0.25">
      <c r="A94" s="65"/>
      <c r="B94" s="22" t="s">
        <v>227</v>
      </c>
    </row>
    <row r="95" spans="1:2" x14ac:dyDescent="0.25">
      <c r="A95" s="65"/>
      <c r="B95" s="53"/>
    </row>
    <row r="96" spans="1:2" ht="15.75" thickBot="1" x14ac:dyDescent="0.3">
      <c r="A96" s="49"/>
      <c r="B96" s="54"/>
    </row>
    <row r="97" spans="1:2" ht="15.75" thickTop="1" x14ac:dyDescent="0.25">
      <c r="A97" s="49"/>
      <c r="B97" s="58" t="s">
        <v>228</v>
      </c>
    </row>
    <row r="98" spans="1:2" x14ac:dyDescent="0.25">
      <c r="A98" s="49"/>
      <c r="B98" s="22" t="s">
        <v>229</v>
      </c>
    </row>
    <row r="99" spans="1:2" x14ac:dyDescent="0.25">
      <c r="A99" s="49"/>
      <c r="B99" s="22" t="s">
        <v>230</v>
      </c>
    </row>
    <row r="100" spans="1:2" x14ac:dyDescent="0.25">
      <c r="A100" s="49"/>
      <c r="B100" s="47"/>
    </row>
    <row r="101" spans="1:2" x14ac:dyDescent="0.25">
      <c r="A101" s="26"/>
      <c r="B101" s="62"/>
    </row>
    <row r="102" spans="1:2" x14ac:dyDescent="0.25">
      <c r="A102" s="33"/>
      <c r="B102" s="66" t="s">
        <v>231</v>
      </c>
    </row>
    <row r="103" spans="1:2" x14ac:dyDescent="0.25">
      <c r="A103" s="65"/>
      <c r="B103" s="20" t="s">
        <v>123</v>
      </c>
    </row>
    <row r="104" spans="1:2" x14ac:dyDescent="0.25">
      <c r="A104" s="67"/>
      <c r="B104" s="68" t="s">
        <v>125</v>
      </c>
    </row>
    <row r="105" spans="1:2" x14ac:dyDescent="0.25">
      <c r="A105" s="64"/>
      <c r="B105" s="8" t="s">
        <v>126</v>
      </c>
    </row>
    <row r="106" spans="1:2" x14ac:dyDescent="0.25">
      <c r="A106" s="49"/>
      <c r="B106" s="14" t="s">
        <v>127</v>
      </c>
    </row>
    <row r="107" spans="1:2" x14ac:dyDescent="0.25">
      <c r="A107" s="49"/>
      <c r="B107" s="14" t="s">
        <v>129</v>
      </c>
    </row>
    <row r="108" spans="1:2" x14ac:dyDescent="0.25">
      <c r="A108" s="49"/>
      <c r="B108" s="14" t="s">
        <v>130</v>
      </c>
    </row>
    <row r="109" spans="1:2" x14ac:dyDescent="0.25">
      <c r="A109" s="49"/>
      <c r="B109" s="14" t="s">
        <v>131</v>
      </c>
    </row>
    <row r="110" spans="1:2" x14ac:dyDescent="0.25">
      <c r="A110" s="49"/>
      <c r="B110" s="14" t="s">
        <v>132</v>
      </c>
    </row>
    <row r="111" spans="1:2" x14ac:dyDescent="0.25">
      <c r="A111" s="49"/>
      <c r="B111" s="14" t="s">
        <v>133</v>
      </c>
    </row>
    <row r="112" spans="1:2" x14ac:dyDescent="0.25">
      <c r="A112" s="49"/>
      <c r="B112" s="14" t="s">
        <v>134</v>
      </c>
    </row>
    <row r="113" spans="1:2" x14ac:dyDescent="0.25">
      <c r="A113" s="49"/>
      <c r="B113" s="14" t="s">
        <v>135</v>
      </c>
    </row>
    <row r="114" spans="1:2" x14ac:dyDescent="0.25">
      <c r="A114" s="49"/>
      <c r="B114" s="14" t="s">
        <v>136</v>
      </c>
    </row>
    <row r="115" spans="1:2" x14ac:dyDescent="0.25">
      <c r="A115" s="49"/>
      <c r="B115" s="14" t="s">
        <v>137</v>
      </c>
    </row>
    <row r="116" spans="1:2" x14ac:dyDescent="0.25">
      <c r="A116" s="49"/>
      <c r="B116" s="20" t="s">
        <v>139</v>
      </c>
    </row>
    <row r="117" spans="1:2" x14ac:dyDescent="0.25">
      <c r="A117" s="49"/>
      <c r="B117" s="69" t="s">
        <v>140</v>
      </c>
    </row>
    <row r="118" spans="1:2" x14ac:dyDescent="0.25">
      <c r="B118" s="20" t="s">
        <v>141</v>
      </c>
    </row>
    <row r="119" spans="1:2" x14ac:dyDescent="0.25">
      <c r="B119" s="20" t="s">
        <v>142</v>
      </c>
    </row>
    <row r="120" spans="1:2" x14ac:dyDescent="0.25">
      <c r="B120" s="20" t="s">
        <v>143</v>
      </c>
    </row>
    <row r="121" spans="1:2" x14ac:dyDescent="0.25">
      <c r="B121" s="22" t="s">
        <v>144</v>
      </c>
    </row>
    <row r="122" spans="1:2" x14ac:dyDescent="0.25">
      <c r="B122" s="22" t="s">
        <v>145</v>
      </c>
    </row>
    <row r="123" spans="1:2" x14ac:dyDescent="0.25">
      <c r="B123" s="22" t="s">
        <v>147</v>
      </c>
    </row>
    <row r="124" spans="1:2" x14ac:dyDescent="0.25">
      <c r="B124" s="22" t="s">
        <v>148</v>
      </c>
    </row>
    <row r="125" spans="1:2" x14ac:dyDescent="0.25">
      <c r="A125" s="65"/>
      <c r="B125" s="22" t="s">
        <v>149</v>
      </c>
    </row>
    <row r="126" spans="1:2" x14ac:dyDescent="0.25">
      <c r="A126" s="67"/>
      <c r="B126" s="22" t="s">
        <v>150</v>
      </c>
    </row>
    <row r="127" spans="1:2" x14ac:dyDescent="0.25">
      <c r="B127" s="22" t="s">
        <v>151</v>
      </c>
    </row>
    <row r="128" spans="1:2" x14ac:dyDescent="0.25">
      <c r="B128" s="22" t="s">
        <v>152</v>
      </c>
    </row>
    <row r="129" spans="1:6" x14ac:dyDescent="0.25">
      <c r="B129" s="22" t="s">
        <v>153</v>
      </c>
      <c r="F129" s="61"/>
    </row>
    <row r="130" spans="1:6" x14ac:dyDescent="0.25">
      <c r="B130" s="22" t="s">
        <v>154</v>
      </c>
    </row>
    <row r="131" spans="1:6" x14ac:dyDescent="0.25">
      <c r="B131" s="22" t="s">
        <v>155</v>
      </c>
      <c r="E131" s="61"/>
    </row>
    <row r="132" spans="1:6" x14ac:dyDescent="0.25">
      <c r="B132" s="70" t="s">
        <v>156</v>
      </c>
    </row>
    <row r="133" spans="1:6" x14ac:dyDescent="0.25">
      <c r="B133" s="71" t="s">
        <v>157</v>
      </c>
    </row>
    <row r="134" spans="1:6" x14ac:dyDescent="0.25">
      <c r="B134" s="72"/>
    </row>
    <row r="135" spans="1:6" s="32" customFormat="1" x14ac:dyDescent="0.25">
      <c r="A135" s="73"/>
      <c r="B135" s="73"/>
    </row>
    <row r="136" spans="1:6" s="32" customFormat="1" x14ac:dyDescent="0.25">
      <c r="A136" s="33"/>
      <c r="B136" s="74" t="s">
        <v>232</v>
      </c>
    </row>
    <row r="137" spans="1:6" x14ac:dyDescent="0.25">
      <c r="A137" s="75"/>
      <c r="B137" s="14" t="s">
        <v>137</v>
      </c>
    </row>
    <row r="138" spans="1:6" x14ac:dyDescent="0.25">
      <c r="A138" s="49"/>
      <c r="B138" s="20" t="s">
        <v>139</v>
      </c>
    </row>
    <row r="139" spans="1:6" x14ac:dyDescent="0.25">
      <c r="A139" s="49"/>
      <c r="B139" s="69" t="s">
        <v>158</v>
      </c>
    </row>
    <row r="140" spans="1:6" x14ac:dyDescent="0.25">
      <c r="A140" s="49"/>
      <c r="B140" s="69" t="s">
        <v>140</v>
      </c>
    </row>
    <row r="141" spans="1:6" x14ac:dyDescent="0.25">
      <c r="B141" s="20" t="s">
        <v>141</v>
      </c>
    </row>
    <row r="142" spans="1:6" x14ac:dyDescent="0.25">
      <c r="B142" s="20" t="s">
        <v>142</v>
      </c>
    </row>
    <row r="143" spans="1:6" x14ac:dyDescent="0.25">
      <c r="B143" s="20" t="s">
        <v>143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B1:C14"/>
  <sheetViews>
    <sheetView workbookViewId="0">
      <selection activeCell="B117" sqref="B117"/>
    </sheetView>
  </sheetViews>
  <sheetFormatPr baseColWidth="10" defaultColWidth="10.85546875" defaultRowHeight="15" x14ac:dyDescent="0.25"/>
  <cols>
    <col min="1" max="16384" width="10.85546875" style="3"/>
  </cols>
  <sheetData>
    <row r="1" spans="2:3" ht="15.6" customHeight="1" x14ac:dyDescent="0.25">
      <c r="B1" s="76"/>
      <c r="C1" s="76" t="s">
        <v>233</v>
      </c>
    </row>
    <row r="2" spans="2:3" ht="15.6" customHeight="1" x14ac:dyDescent="0.25">
      <c r="B2" s="76"/>
      <c r="C2" s="77" t="s">
        <v>122</v>
      </c>
    </row>
    <row r="3" spans="2:3" x14ac:dyDescent="0.25">
      <c r="B3" s="76"/>
      <c r="C3" s="76" t="s">
        <v>234</v>
      </c>
    </row>
    <row r="4" spans="2:3" x14ac:dyDescent="0.25">
      <c r="B4" s="77"/>
      <c r="C4" s="78" t="s">
        <v>235</v>
      </c>
    </row>
    <row r="5" spans="2:3" x14ac:dyDescent="0.25">
      <c r="B5" s="77"/>
      <c r="C5" s="76" t="s">
        <v>236</v>
      </c>
    </row>
    <row r="6" spans="2:3" x14ac:dyDescent="0.25">
      <c r="B6" s="77"/>
      <c r="C6" s="76" t="s">
        <v>237</v>
      </c>
    </row>
    <row r="7" spans="2:3" x14ac:dyDescent="0.25">
      <c r="B7" s="76"/>
      <c r="C7" s="77" t="s">
        <v>121</v>
      </c>
    </row>
    <row r="8" spans="2:3" x14ac:dyDescent="0.25">
      <c r="B8" s="76"/>
      <c r="C8" s="77" t="s">
        <v>238</v>
      </c>
    </row>
    <row r="9" spans="2:3" x14ac:dyDescent="0.25">
      <c r="B9" s="76"/>
      <c r="C9" s="76" t="s">
        <v>239</v>
      </c>
    </row>
    <row r="10" spans="2:3" x14ac:dyDescent="0.25">
      <c r="B10" s="76"/>
      <c r="C10" s="76" t="s">
        <v>124</v>
      </c>
    </row>
    <row r="11" spans="2:3" x14ac:dyDescent="0.25">
      <c r="B11" s="79"/>
      <c r="C11" s="61" t="s">
        <v>146</v>
      </c>
    </row>
    <row r="12" spans="2:3" x14ac:dyDescent="0.25">
      <c r="B12" s="79"/>
      <c r="C12" s="79" t="s">
        <v>128</v>
      </c>
    </row>
    <row r="13" spans="2:3" ht="13.5" customHeight="1" x14ac:dyDescent="0.25">
      <c r="B13" s="61"/>
      <c r="C13" s="79" t="s">
        <v>138</v>
      </c>
    </row>
    <row r="14" spans="2:3" x14ac:dyDescent="0.25">
      <c r="C14" s="76" t="s">
        <v>240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12</vt:i4>
      </vt:variant>
    </vt:vector>
  </HeadingPairs>
  <TitlesOfParts>
    <vt:vector size="21" baseType="lpstr">
      <vt:lpstr>Montag</vt:lpstr>
      <vt:lpstr>Dienstag</vt:lpstr>
      <vt:lpstr>Mittwoch</vt:lpstr>
      <vt:lpstr>Donnerstag</vt:lpstr>
      <vt:lpstr>Freitag</vt:lpstr>
      <vt:lpstr>Samstag</vt:lpstr>
      <vt:lpstr>Geräte_Maschienen</vt:lpstr>
      <vt:lpstr>Baustoffe_Material</vt:lpstr>
      <vt:lpstr>Einheiten</vt:lpstr>
      <vt:lpstr>Dienstag!Druckbereich</vt:lpstr>
      <vt:lpstr>Donnerstag!Druckbereich</vt:lpstr>
      <vt:lpstr>Freitag!Druckbereich</vt:lpstr>
      <vt:lpstr>Mittwoch!Druckbereich</vt:lpstr>
      <vt:lpstr>Montag!Druckbereich</vt:lpstr>
      <vt:lpstr>Samstag!Druckbereich</vt:lpstr>
      <vt:lpstr>Dienstag!Drucktitel</vt:lpstr>
      <vt:lpstr>Donnerstag!Drucktitel</vt:lpstr>
      <vt:lpstr>Freitag!Drucktitel</vt:lpstr>
      <vt:lpstr>Mittwoch!Drucktitel</vt:lpstr>
      <vt:lpstr>Montag!Drucktitel</vt:lpstr>
      <vt:lpstr>Samstag!Drucktitel</vt:lpstr>
    </vt:vector>
  </TitlesOfParts>
  <Company>Kurt Motz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vogt;salzer</dc:creator>
  <cp:lastModifiedBy>Danny Beham</cp:lastModifiedBy>
  <cp:lastPrinted>2021-02-17T18:56:42Z</cp:lastPrinted>
  <dcterms:created xsi:type="dcterms:W3CDTF">2012-10-22T06:18:37Z</dcterms:created>
  <dcterms:modified xsi:type="dcterms:W3CDTF">2022-09-21T08:19:51Z</dcterms:modified>
</cp:coreProperties>
</file>